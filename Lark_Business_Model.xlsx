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Model" sheetId="2" state="visible" r:id="rId4"/>
    <sheet name="API Comparis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<sst xmlns="http://schemas.openxmlformats.org/spreadsheetml/2006/main" count="186" uniqueCount="175">
  <si>
    <t xml:space="preserve">Lark — Business Model Assumptions</t>
  </si>
  <si>
    <t xml:space="preserve">Blue cells are inputs — change them to run scenarios. Black = formulas. All currency in EUR.</t>
  </si>
  <si>
    <t xml:space="preserve">GENERAL</t>
  </si>
  <si>
    <t xml:space="preserve">Currency</t>
  </si>
  <si>
    <t xml:space="preserve">EUR</t>
  </si>
  <si>
    <t xml:space="preserve">Mature MAU per city (steady state)</t>
  </si>
  <si>
    <t xml:space="preserve">Monthly active users a city settles at</t>
  </si>
  <si>
    <t xml:space="preserve">MAU ramp to maturity (months)</t>
  </si>
  <si>
    <t xml:space="preserve">Linear ramp from launch to steady state</t>
  </si>
  <si>
    <t xml:space="preserve">Mature advertisers per city</t>
  </si>
  <si>
    <t xml:space="preserve">Paying sponsored listings at maturity</t>
  </si>
  <si>
    <t xml:space="preserve">Advertiser ramp (months)</t>
  </si>
  <si>
    <t xml:space="preserve">Sales ramp per city</t>
  </si>
  <si>
    <t xml:space="preserve">Listing price / advertiser / month</t>
  </si>
  <si>
    <t xml:space="preserve">Flat sponsored-listing fee</t>
  </si>
  <si>
    <t xml:space="preserve">P&amp;L scenario (1=HERE, 2=Hybrid, 3=Google)</t>
  </si>
  <si>
    <t xml:space="preserve">Which API strategy feeds the P&amp;L</t>
  </si>
  <si>
    <t xml:space="preserve">Include CPM ads? (1=yes, 0=no)</t>
  </si>
  <si>
    <t xml:space="preserve">Generic banner/native ad revenue toggle</t>
  </si>
  <si>
    <t xml:space="preserve">CITY LAUNCH MONTH (1-36)</t>
  </si>
  <si>
    <t xml:space="preserve">City 1 (e.g. Munich)</t>
  </si>
  <si>
    <t xml:space="preserve">City 2</t>
  </si>
  <si>
    <t xml:space="preserve">City 3</t>
  </si>
  <si>
    <t xml:space="preserve">City 4</t>
  </si>
  <si>
    <t xml:space="preserve">ENGAGEMENT — per MAU per month</t>
  </si>
  <si>
    <t xml:space="preserve">Sessions</t>
  </si>
  <si>
    <t xml:space="preserve">Map loads</t>
  </si>
  <si>
    <t xml:space="preserve">Map tile / dynamic map loads</t>
  </si>
  <si>
    <t xml:space="preserve">Place searches (autocomplete)</t>
  </si>
  <si>
    <t xml:space="preserve">Most expensive Google SKU</t>
  </si>
  <si>
    <t xml:space="preserve">Place details + photos</t>
  </si>
  <si>
    <t xml:space="preserve">Fixes the bad/celebrity-image problem</t>
  </si>
  <si>
    <t xml:space="preserve">Geocoding lookups</t>
  </si>
  <si>
    <t xml:space="preserve">Routing calls</t>
  </si>
  <si>
    <t xml:space="preserve">Recommend-flow travel-time batch</t>
  </si>
  <si>
    <t xml:space="preserve">Ad impressions</t>
  </si>
  <si>
    <t xml:space="preserve">Discover-feed views (for CPM option)</t>
  </si>
  <si>
    <t xml:space="preserve">MONETISATION</t>
  </si>
  <si>
    <t xml:space="preserve">Affiliate booking rate (% of MAU / mo)</t>
  </si>
  <si>
    <t xml:space="preserve">Share who complete a bookable activity</t>
  </si>
  <si>
    <t xml:space="preserve">Avg booking value</t>
  </si>
  <si>
    <t xml:space="preserve">Per booking (tickets/tours)</t>
  </si>
  <si>
    <t xml:space="preserve">Affiliate commission %</t>
  </si>
  <si>
    <t xml:space="preserve">GetYourGuide / Viator ~8%</t>
  </si>
  <si>
    <t xml:space="preserve">Subscription conversion %</t>
  </si>
  <si>
    <t xml:space="preserve">Free users who upgrade</t>
  </si>
  <si>
    <t xml:space="preserve">Subscription price / month</t>
  </si>
  <si>
    <t xml:space="preserve">Lark Premium</t>
  </si>
  <si>
    <t xml:space="preserve">CPM rate (per 1,000 impressions)</t>
  </si>
  <si>
    <t xml:space="preserve">Germany Tier-2 native CPM</t>
  </si>
  <si>
    <t xml:space="preserve">API PRICING — per 1,000 calls (USD≈EUR 1:1 assumed)</t>
  </si>
  <si>
    <t xml:space="preserve">SKU</t>
  </si>
  <si>
    <t xml:space="preserve">Google</t>
  </si>
  <si>
    <t xml:space="preserve">Source: Google Maps Platform pricing 2026</t>
  </si>
  <si>
    <t xml:space="preserve">Map load (Dynamic Maps)</t>
  </si>
  <si>
    <t xml:space="preserve">Place search (Autocomplete)</t>
  </si>
  <si>
    <t xml:space="preserve">Geocoding</t>
  </si>
  <si>
    <t xml:space="preserve">Routing (Routes / Directions)</t>
  </si>
  <si>
    <t xml:space="preserve">HERE — blended price (any call)</t>
  </si>
  <si>
    <t xml:space="preserve">Current provider; ~30k free/mo then low cost</t>
  </si>
  <si>
    <t xml:space="preserve">FREE TIERS — calls / month</t>
  </si>
  <si>
    <t xml:space="preserve">Google free per SKU</t>
  </si>
  <si>
    <t xml:space="preserve">Essentials SKUs free monthly events</t>
  </si>
  <si>
    <t xml:space="preserve">HERE free (total transactions)</t>
  </si>
  <si>
    <t xml:space="preserve">Approx HERE freemium allowance</t>
  </si>
  <si>
    <t xml:space="preserve">OTHER COSTS — per month</t>
  </si>
  <si>
    <t xml:space="preserve">Infra base (early stage)</t>
  </si>
  <si>
    <t xml:space="preserve">Supabase + Vercel free tiers</t>
  </si>
  <si>
    <t xml:space="preserve">Infra paid (above threshold)</t>
  </si>
  <si>
    <t xml:space="preserve">Supabase Pro + Vercel Pro</t>
  </si>
  <si>
    <t xml:space="preserve">MAU threshold for paid infra</t>
  </si>
  <si>
    <t xml:space="preserve">Marketing / misc opex</t>
  </si>
  <si>
    <t xml:space="preserve">Editable monthly spend</t>
  </si>
  <si>
    <t xml:space="preserve">Month</t>
  </si>
  <si>
    <t xml:space="preserve">Period</t>
  </si>
  <si>
    <t xml:space="preserve">Cities live</t>
  </si>
  <si>
    <t xml:space="preserve">Total MAU</t>
  </si>
  <si>
    <t xml:space="preserve">Advertisers</t>
  </si>
  <si>
    <t xml:space="preserve">Sponsored</t>
  </si>
  <si>
    <t xml:space="preserve">Affiliate</t>
  </si>
  <si>
    <t xml:space="preserve">Subscription</t>
  </si>
  <si>
    <t xml:space="preserve">CPM ads</t>
  </si>
  <si>
    <t xml:space="preserve">Total revenue</t>
  </si>
  <si>
    <t xml:space="preserve">API HERE-only</t>
  </si>
  <si>
    <t xml:space="preserve">API Hybrid</t>
  </si>
  <si>
    <t xml:space="preserve">API Google</t>
  </si>
  <si>
    <t xml:space="preserve">API selected</t>
  </si>
  <si>
    <t xml:space="preserve">Infra</t>
  </si>
  <si>
    <t xml:space="preserve">Opex</t>
  </si>
  <si>
    <t xml:space="preserve">Total cost</t>
  </si>
  <si>
    <t xml:space="preserve">Net (month)</t>
  </si>
  <si>
    <t xml:space="preserve">Cumulative net</t>
  </si>
  <si>
    <t xml:space="preserve">C1 MAU</t>
  </si>
  <si>
    <t xml:space="preserve">C2 MAU</t>
  </si>
  <si>
    <t xml:space="preserve">C3 MAU</t>
  </si>
  <si>
    <t xml:space="preserve">C4 MAU</t>
  </si>
  <si>
    <t xml:space="preserve">C1 adv</t>
  </si>
  <si>
    <t xml:space="preserve">C2 adv</t>
  </si>
  <si>
    <t xml:space="preserve">C3 adv</t>
  </si>
  <si>
    <t xml:space="preserve">C4 adv</t>
  </si>
  <si>
    <t xml:space="preserve">map</t>
  </si>
  <si>
    <t xml:space="preserve">search</t>
  </si>
  <si>
    <t xml:space="preserve">details</t>
  </si>
  <si>
    <t xml:space="preserve">geo</t>
  </si>
  <si>
    <t xml:space="preserve">route</t>
  </si>
  <si>
    <t xml:space="preserve">BE-month</t>
  </si>
  <si>
    <t xml:space="preserve">CumBE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</si>
  <si>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</si>
  <si>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</si>
  <si>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</si>
  <si>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</si>
  <si>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</si>
  <si>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</si>
  <si>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</si>
  <si>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</si>
  <si>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</si>
  <si>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</si>
  <si>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</si>
  <si>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</si>
  <si>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</si>
  <si>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</si>
  <si>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</si>
  <si>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</si>
  <si>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</si>
  <si>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</si>
  <si>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</si>
  <si>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</si>
  <si>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</si>
  <si>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Mar 2028</t>
  </si>
  <si>
    <t xml:space="preserve">Apr 2028</t>
  </si>
  <si>
    <t xml:space="preserve">May 2028</t>
  </si>
  <si>
    <t xml:space="preserve">Jun 2028</t>
  </si>
  <si>
    <t xml:space="preserve">Jul 2028</t>
  </si>
  <si>
    <t xml:space="preserve">Aug 2028</t>
  </si>
  <si>
    <t xml:space="preserve">Sep 2028</t>
  </si>
  <si>
    <t xml:space="preserve">Oct 2028</t>
  </si>
  <si>
    <t xml:space="preserve">Nov 2028</t>
  </si>
  <si>
    <t xml:space="preserve">Dec 2028</t>
  </si>
  <si>
    <t xml:space="preserve">Jan 2029</t>
  </si>
  <si>
    <t xml:space="preserve">Feb 2029</t>
  </si>
  <si>
    <t xml:space="preserve">Mar 2029</t>
  </si>
  <si>
    <t xml:space="preserve">Apr 2029</t>
  </si>
  <si>
    <t xml:space="preserve">May 2029</t>
  </si>
  <si>
    <t xml:space="preserve">API Cost Comparison</t>
  </si>
  <si>
    <t xml:space="preserve">What each map provider strategy costs per month at a given user base.</t>
  </si>
  <si>
    <t xml:space="preserve">Reference MAU</t>
  </si>
  <si>
    <t xml:space="preserve">HERE-only</t>
  </si>
  <si>
    <t xml:space="preserve">Hybrid (rec.)</t>
  </si>
  <si>
    <t xml:space="preserve">Full Google</t>
  </si>
  <si>
    <t xml:space="preserve">Monthly API cost</t>
  </si>
  <si>
    <t xml:space="preserve">Annual API cost</t>
  </si>
  <si>
    <t xml:space="preserve">Cost per 1,000 MAU / month</t>
  </si>
  <si>
    <t xml:space="preserve">Relative to HERE-only</t>
  </si>
  <si>
    <t xml:space="preserve">Call volume &amp; pricing detail (at reference MAU)</t>
  </si>
  <si>
    <t xml:space="preserve">Calls / month</t>
  </si>
  <si>
    <t xml:space="preserve">Google €/1k</t>
  </si>
  <si>
    <t xml:space="preserve">HERE €/1k</t>
  </si>
  <si>
    <t xml:space="preserve">Map load</t>
  </si>
  <si>
    <t xml:space="preserve">Place search</t>
  </si>
  <si>
    <t xml:space="preserve">Routing</t>
  </si>
  <si>
    <t xml:space="preserve">Hybrid = Google for Place search + details/photos (fixes 'not found' and bad images), HERE for map tiles, geocoding and routing.</t>
  </si>
  <si>
    <t xml:space="preserve">Lark — 3-Year Summary</t>
  </si>
  <si>
    <t xml:space="preserve">Driven by the Assumptions sheet. Scenario for costs = P&amp;L scenario input.</t>
  </si>
  <si>
    <t xml:space="preserve">Year 1</t>
  </si>
  <si>
    <t xml:space="preserve">Year 2</t>
  </si>
  <si>
    <t xml:space="preserve">Year 3</t>
  </si>
  <si>
    <t xml:space="preserve">Sponsored listings</t>
  </si>
  <si>
    <t xml:space="preserve">API cost (selected)</t>
  </si>
  <si>
    <t xml:space="preserve">Net profit / (loss)</t>
  </si>
  <si>
    <t xml:space="preserve">MAU at year end</t>
  </si>
  <si>
    <t xml:space="preserve">Key outcomes</t>
  </si>
  <si>
    <t xml:space="preserve">Cumulative break-even month</t>
  </si>
  <si>
    <t xml:space="preserve">Monthly run-rate revenue (M36 ×12)</t>
  </si>
  <si>
    <t xml:space="preserve">Monthly run-rate net (M36 ×12)</t>
  </si>
  <si>
    <t xml:space="preserve">Net margin at M36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</si>
</sst>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€#,##0;&quot;(€&quot;#,##0\);\-"/>
    <numFmt numFmtId="167" formatCode="0.0%"/>
    <numFmt numFmtId="168" formatCode="\€#,##0.00"/>
    <numFmt numFmtId="169" formatCode="0.0\x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B2A20"/>
      <name val="Arial"/>
      <family val="0"/>
      <charset val="1"/>
    </font>
    <font>
      <sz val="9"/>
      <color rgb="FF7A6F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A89A8C"/>
      <name val="Arial"/>
      <family val="0"/>
      <charset val="1"/>
    </font>
    <font>
      <b val="true"/>
      <sz val="10"/>
      <color rgb="FF3B2A20"/>
      <name val="Arial"/>
      <family val="0"/>
      <charset val="1"/>
    </font>
    <font>
      <sz val="8"/>
      <color rgb="FFA89A8C"/>
      <name val="Arial"/>
      <family val="0"/>
      <charset val="1"/>
    </font>
    <font>
      <b val="true"/>
      <sz val="15"/>
      <color rgb="FF3B2A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3B2A2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B2A20"/>
        <bgColor rgb="FF333300"/>
      </patternFill>
    </fill>
    <fill>
      <patternFill patternType="solid">
        <fgColor rgb="FFFFF6CC"/>
        <bgColor rgb="FFEDE6DF"/>
      </patternFill>
    </fill>
    <fill>
      <patternFill patternType="solid">
        <fgColor rgb="FFEDE6DF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F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A6F63"/>
      <rgbColor rgb="FFA89A8C"/>
      <rgbColor rgb="FF003366"/>
      <rgbColor rgb="FF339966"/>
      <rgbColor rgb="FF003300"/>
      <rgbColor rgb="FF333300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net profit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Model'!S1</c:f>
              <c:strCache>
                <c:ptCount val="1"/>
                <c:pt idx="0">
                  <c:v>Cumulative net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Model'!$B$2:$B$37</c:f>
              <c:strCache>
                <c:ptCount val="36"/>
                <c:pt idx="0">
                  <c:v>Jun 2026</c:v>
                </c:pt>
                <c:pt idx="1">
                  <c:v>Jul 2026</c:v>
                </c:pt>
                <c:pt idx="2">
                  <c:v>Aug 2026</c:v>
                </c:pt>
                <c:pt idx="3">
                  <c:v>Sep 2026</c:v>
                </c:pt>
                <c:pt idx="4">
                  <c:v>Oct 2026</c:v>
                </c:pt>
                <c:pt idx="5">
                  <c:v>Nov 2026</c:v>
                </c:pt>
                <c:pt idx="6">
                  <c:v>Dec 2026</c:v>
                </c:pt>
                <c:pt idx="7">
                  <c:v>Jan 2027</c:v>
                </c:pt>
                <c:pt idx="8">
                  <c:v>Feb 2027</c:v>
                </c:pt>
                <c:pt idx="9">
                  <c:v>Mar 2027</c:v>
                </c:pt>
                <c:pt idx="10">
                  <c:v>Apr 2027</c:v>
                </c:pt>
                <c:pt idx="11">
                  <c:v>May 2027</c:v>
                </c:pt>
                <c:pt idx="12">
                  <c:v>Jun 2027</c:v>
                </c:pt>
                <c:pt idx="13">
                  <c:v>Jul 2027</c:v>
                </c:pt>
                <c:pt idx="14">
                  <c:v>Aug 2027</c:v>
                </c:pt>
                <c:pt idx="15">
                  <c:v>Sep 2027</c:v>
                </c:pt>
                <c:pt idx="16">
                  <c:v>Oct 2027</c:v>
                </c:pt>
                <c:pt idx="17">
                  <c:v>Nov 2027</c:v>
                </c:pt>
                <c:pt idx="18">
                  <c:v>Dec 2027</c:v>
                </c:pt>
                <c:pt idx="19">
                  <c:v>Jan 2028</c:v>
                </c:pt>
                <c:pt idx="20">
                  <c:v>Feb 2028</c:v>
                </c:pt>
                <c:pt idx="21">
                  <c:v>Mar 2028</c:v>
                </c:pt>
                <c:pt idx="22">
                  <c:v>Apr 2028</c:v>
                </c:pt>
                <c:pt idx="23">
                  <c:v>May 2028</c:v>
                </c:pt>
                <c:pt idx="24">
                  <c:v>Jun 2028</c:v>
                </c:pt>
                <c:pt idx="25">
                  <c:v>Jul 2028</c:v>
                </c:pt>
                <c:pt idx="26">
                  <c:v>Aug 2028</c:v>
                </c:pt>
                <c:pt idx="27">
                  <c:v>Sep 2028</c:v>
                </c:pt>
                <c:pt idx="28">
                  <c:v>Oct 2028</c:v>
                </c:pt>
                <c:pt idx="29">
                  <c:v>Nov 2028</c:v>
                </c:pt>
                <c:pt idx="30">
                  <c:v>Dec 2028</c:v>
                </c:pt>
                <c:pt idx="31">
                  <c:v>Jan 2029</c:v>
                </c:pt>
                <c:pt idx="32">
                  <c:v>Feb 2029</c:v>
                </c:pt>
                <c:pt idx="33">
                  <c:v>Mar 2029</c:v>
                </c:pt>
                <c:pt idx="34">
                  <c:v>Apr 2029</c:v>
                </c:pt>
                <c:pt idx="35">
                  <c:v>May 2029</c:v>
                </c:pt>
              </c:strCache>
            </c:strRef>
          </c:cat>
          <c:val>
            <c:numRef>
              <c:f>'Monthly Model'!$S$2:$S$37</c:f>
              <c:numCache>
                <c:formatCode>\€#,##0;"(€"#,##0\);\-</c:formatCode>
                <c:ptCount val="36"/>
                <c:pt idx="0">
                  <c:v>-18</c:v>
                </c:pt>
                <c:pt idx="1">
                  <c:v>146</c:v>
                </c:pt>
                <c:pt idx="2">
                  <c:v>492</c:v>
                </c:pt>
                <c:pt idx="3">
                  <c:v>1020</c:v>
                </c:pt>
                <c:pt idx="4">
                  <c:v>1730</c:v>
                </c:pt>
                <c:pt idx="5">
                  <c:v>2622</c:v>
                </c:pt>
                <c:pt idx="6">
                  <c:v>3695.11111111111</c:v>
                </c:pt>
                <c:pt idx="7">
                  <c:v>4927.77777777778</c:v>
                </c:pt>
                <c:pt idx="8">
                  <c:v>6470.11111111111</c:v>
                </c:pt>
                <c:pt idx="9">
                  <c:v>8322.11111111111</c:v>
                </c:pt>
                <c:pt idx="10">
                  <c:v>10455.4444444444</c:v>
                </c:pt>
                <c:pt idx="11">
                  <c:v>12870.1111111111</c:v>
                </c:pt>
                <c:pt idx="12">
                  <c:v>15443.1944444444</c:v>
                </c:pt>
                <c:pt idx="13">
                  <c:v>18174.6944444444</c:v>
                </c:pt>
                <c:pt idx="14">
                  <c:v>21064.6111111111</c:v>
                </c:pt>
                <c:pt idx="15">
                  <c:v>24112.9444444444</c:v>
                </c:pt>
                <c:pt idx="16">
                  <c:v>27319.6944444444</c:v>
                </c:pt>
                <c:pt idx="17">
                  <c:v>30780.5277777778</c:v>
                </c:pt>
                <c:pt idx="18">
                  <c:v>34522.6944444444</c:v>
                </c:pt>
                <c:pt idx="19">
                  <c:v>38546.1944444444</c:v>
                </c:pt>
                <c:pt idx="20">
                  <c:v>42728.1111111111</c:v>
                </c:pt>
                <c:pt idx="21">
                  <c:v>47068.4444444444</c:v>
                </c:pt>
                <c:pt idx="22">
                  <c:v>51567.1944444444</c:v>
                </c:pt>
                <c:pt idx="23">
                  <c:v>56224.3611111111</c:v>
                </c:pt>
                <c:pt idx="24">
                  <c:v>61039.9444444444</c:v>
                </c:pt>
                <c:pt idx="25">
                  <c:v>66013.9444444444</c:v>
                </c:pt>
                <c:pt idx="26">
                  <c:v>71269.2777777778</c:v>
                </c:pt>
                <c:pt idx="27">
                  <c:v>76805.9444444444</c:v>
                </c:pt>
                <c:pt idx="28">
                  <c:v>82623.9444444444</c:v>
                </c:pt>
                <c:pt idx="29">
                  <c:v>88600.3611111111</c:v>
                </c:pt>
                <c:pt idx="30">
                  <c:v>94735.1944444444</c:v>
                </c:pt>
                <c:pt idx="31">
                  <c:v>101028.444444444</c:v>
                </c:pt>
                <c:pt idx="32">
                  <c:v>107480.111111111</c:v>
                </c:pt>
                <c:pt idx="33">
                  <c:v>114090.194444444</c:v>
                </c:pt>
                <c:pt idx="34">
                  <c:v>120858.694444444</c:v>
                </c:pt>
                <c:pt idx="35">
                  <c:v>127767.861111111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432344"/>
        <c:axId val="55632994"/>
      </c:lineChart>
      <c:catAx>
        <c:axId val="5543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632994"/>
        <c:crosses val="autoZero"/>
        <c:auto val="1"/>
        <c:lblAlgn val="ctr"/>
        <c:lblOffset val="100"/>
        <c:noMultiLvlLbl val="0"/>
      </c:catAx>
      <c:valAx>
        <c:axId val="55632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;&quot;(€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323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4</xdr:col>
      <xdr:colOff>191160</xdr:colOff>
      <xdr:row>41</xdr:row>
      <xdr:rowOff>32400</xdr:rowOff>
    </xdr:to>
    <xdr:graphicFrame>
      <xdr:nvGraphicFramePr>
        <xdr:cNvPr id="1" name="Chart 1"/>
        <xdr:cNvGraphicFramePr/>
      </xdr:nvGraphicFramePr>
      <xdr:xfrm>
        <a:off x="0" y="52030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s">
        <v>4</v>
      </c>
      <c r="C4" s="2"/>
    </row>
    <row r="5" customFormat="false" ht="15" hidden="false" customHeight="false" outlineLevel="0" collapsed="false">
      <c r="A5" s="4" t="s">
        <v>5</v>
      </c>
      <c r="B5" s="6" t="n">
        <v>5000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v>18</v>
      </c>
      <c r="C6" s="2" t="s">
        <v>8</v>
      </c>
    </row>
    <row r="7" customFormat="false" ht="15" hidden="false" customHeight="false" outlineLevel="0" collapsed="false">
      <c r="A7" s="4" t="s">
        <v>9</v>
      </c>
      <c r="B7" s="6" t="n">
        <v>25</v>
      </c>
      <c r="C7" s="2" t="s">
        <v>10</v>
      </c>
    </row>
    <row r="8" customFormat="false" ht="15" hidden="false" customHeight="false" outlineLevel="0" collapsed="false">
      <c r="A8" s="4" t="s">
        <v>11</v>
      </c>
      <c r="B8" s="5" t="n">
        <v>12</v>
      </c>
      <c r="C8" s="2" t="s">
        <v>12</v>
      </c>
    </row>
    <row r="9" customFormat="false" ht="15" hidden="false" customHeight="false" outlineLevel="0" collapsed="false">
      <c r="A9" s="4" t="s">
        <v>13</v>
      </c>
      <c r="B9" s="7" t="n">
        <v>59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8" t="n">
        <v>2</v>
      </c>
      <c r="C10" s="2" t="s">
        <v>16</v>
      </c>
    </row>
    <row r="11" customFormat="false" ht="15" hidden="false" customHeight="false" outlineLevel="0" collapsed="false">
      <c r="A11" s="4" t="s">
        <v>17</v>
      </c>
      <c r="B11" s="5" t="n">
        <v>0</v>
      </c>
      <c r="C11" s="2" t="s">
        <v>18</v>
      </c>
    </row>
    <row r="13" customFormat="false" ht="15" hidden="false" customHeight="false" outlineLevel="0" collapsed="false">
      <c r="A13" s="3" t="s">
        <v>19</v>
      </c>
      <c r="B13" s="3"/>
      <c r="C13" s="3"/>
    </row>
    <row r="14" customFormat="false" ht="15" hidden="false" customHeight="false" outlineLevel="0" collapsed="false">
      <c r="A14" s="4" t="s">
        <v>20</v>
      </c>
      <c r="B14" s="5" t="n">
        <v>1</v>
      </c>
      <c r="C14" s="2"/>
    </row>
    <row r="15" customFormat="false" ht="15" hidden="false" customHeight="false" outlineLevel="0" collapsed="false">
      <c r="A15" s="4" t="s">
        <v>21</v>
      </c>
      <c r="B15" s="5" t="n">
        <v>9</v>
      </c>
      <c r="C15" s="2"/>
    </row>
    <row r="16" customFormat="false" ht="15" hidden="false" customHeight="false" outlineLevel="0" collapsed="false">
      <c r="A16" s="4" t="s">
        <v>22</v>
      </c>
      <c r="B16" s="5" t="n">
        <v>18</v>
      </c>
      <c r="C16" s="2"/>
    </row>
    <row r="17" customFormat="false" ht="15" hidden="false" customHeight="false" outlineLevel="0" collapsed="false">
      <c r="A17" s="4" t="s">
        <v>23</v>
      </c>
      <c r="B17" s="5" t="n">
        <v>27</v>
      </c>
      <c r="C17" s="2"/>
    </row>
    <row r="19" customFormat="false" ht="15" hidden="false" customHeight="false" outlineLevel="0" collapsed="false">
      <c r="A19" s="3" t="s">
        <v>24</v>
      </c>
      <c r="B19" s="3"/>
      <c r="C19" s="3"/>
    </row>
    <row r="20" customFormat="false" ht="15" hidden="false" customHeight="false" outlineLevel="0" collapsed="false">
      <c r="A20" s="4" t="s">
        <v>25</v>
      </c>
      <c r="B20" s="5" t="n">
        <v>6</v>
      </c>
      <c r="C20" s="2"/>
    </row>
    <row r="21" customFormat="false" ht="15" hidden="false" customHeight="false" outlineLevel="0" collapsed="false">
      <c r="A21" s="4" t="s">
        <v>26</v>
      </c>
      <c r="B21" s="5" t="n">
        <v>8</v>
      </c>
      <c r="C21" s="2" t="s">
        <v>27</v>
      </c>
    </row>
    <row r="22" customFormat="false" ht="15" hidden="false" customHeight="false" outlineLevel="0" collapsed="false">
      <c r="A22" s="4" t="s">
        <v>28</v>
      </c>
      <c r="B22" s="5" t="n">
        <v>5</v>
      </c>
      <c r="C22" s="2" t="s">
        <v>29</v>
      </c>
    </row>
    <row r="23" customFormat="false" ht="15" hidden="false" customHeight="false" outlineLevel="0" collapsed="false">
      <c r="A23" s="4" t="s">
        <v>30</v>
      </c>
      <c r="B23" s="5" t="n">
        <v>3</v>
      </c>
      <c r="C23" s="2" t="s">
        <v>31</v>
      </c>
    </row>
    <row r="24" customFormat="false" ht="15" hidden="false" customHeight="false" outlineLevel="0" collapsed="false">
      <c r="A24" s="4" t="s">
        <v>32</v>
      </c>
      <c r="B24" s="5" t="n">
        <v>2</v>
      </c>
      <c r="C24" s="2"/>
    </row>
    <row r="25" customFormat="false" ht="15" hidden="false" customHeight="false" outlineLevel="0" collapsed="false">
      <c r="A25" s="4" t="s">
        <v>33</v>
      </c>
      <c r="B25" s="5" t="n">
        <v>6</v>
      </c>
      <c r="C25" s="2" t="s">
        <v>34</v>
      </c>
    </row>
    <row r="26" customFormat="false" ht="15" hidden="false" customHeight="false" outlineLevel="0" collapsed="false">
      <c r="A26" s="4" t="s">
        <v>35</v>
      </c>
      <c r="B26" s="5" t="n">
        <v>12</v>
      </c>
      <c r="C26" s="2" t="s">
        <v>36</v>
      </c>
    </row>
    <row r="28" customFormat="false" ht="15" hidden="false" customHeight="false" outlineLevel="0" collapsed="false">
      <c r="A28" s="3" t="s">
        <v>37</v>
      </c>
      <c r="B28" s="3"/>
      <c r="C28" s="3"/>
    </row>
    <row r="29" customFormat="false" ht="15" hidden="false" customHeight="false" outlineLevel="0" collapsed="false">
      <c r="A29" s="4" t="s">
        <v>38</v>
      </c>
      <c r="B29" s="9" t="n">
        <v>0.03</v>
      </c>
      <c r="C29" s="2" t="s">
        <v>39</v>
      </c>
    </row>
    <row r="30" customFormat="false" ht="15" hidden="false" customHeight="false" outlineLevel="0" collapsed="false">
      <c r="A30" s="4" t="s">
        <v>40</v>
      </c>
      <c r="B30" s="10" t="n">
        <v>45</v>
      </c>
      <c r="C30" s="2" t="s">
        <v>41</v>
      </c>
    </row>
    <row r="31" customFormat="false" ht="15" hidden="false" customHeight="false" outlineLevel="0" collapsed="false">
      <c r="A31" s="4" t="s">
        <v>42</v>
      </c>
      <c r="B31" s="11" t="n">
        <v>0.08</v>
      </c>
      <c r="C31" s="2" t="s">
        <v>43</v>
      </c>
    </row>
    <row r="32" customFormat="false" ht="15" hidden="false" customHeight="false" outlineLevel="0" collapsed="false">
      <c r="A32" s="4" t="s">
        <v>44</v>
      </c>
      <c r="B32" s="9" t="n">
        <v>0.03</v>
      </c>
      <c r="C32" s="2" t="s">
        <v>45</v>
      </c>
    </row>
    <row r="33" customFormat="false" ht="15" hidden="false" customHeight="false" outlineLevel="0" collapsed="false">
      <c r="A33" s="4" t="s">
        <v>46</v>
      </c>
      <c r="B33" s="12" t="n">
        <v>3.49</v>
      </c>
      <c r="C33" s="2" t="s">
        <v>47</v>
      </c>
    </row>
    <row r="34" customFormat="false" ht="15" hidden="false" customHeight="false" outlineLevel="0" collapsed="false">
      <c r="A34" s="4" t="s">
        <v>48</v>
      </c>
      <c r="B34" s="10" t="n">
        <v>8</v>
      </c>
      <c r="C34" s="2" t="s">
        <v>49</v>
      </c>
    </row>
    <row r="36" customFormat="false" ht="15" hidden="false" customHeight="false" outlineLevel="0" collapsed="false">
      <c r="A36" s="3" t="s">
        <v>50</v>
      </c>
      <c r="B36" s="3"/>
      <c r="C36" s="3"/>
    </row>
    <row r="37" customFormat="false" ht="15" hidden="false" customHeight="false" outlineLevel="0" collapsed="false">
      <c r="A37" s="13" t="s">
        <v>51</v>
      </c>
      <c r="B37" s="14" t="s">
        <v>52</v>
      </c>
      <c r="C37" s="2" t="s">
        <v>53</v>
      </c>
    </row>
    <row r="38" customFormat="false" ht="15" hidden="false" customHeight="false" outlineLevel="0" collapsed="false">
      <c r="A38" s="4" t="s">
        <v>54</v>
      </c>
      <c r="B38" s="12" t="n">
        <v>7</v>
      </c>
      <c r="C38" s="2"/>
    </row>
    <row r="39" customFormat="false" ht="15" hidden="false" customHeight="false" outlineLevel="0" collapsed="false">
      <c r="A39" s="4" t="s">
        <v>55</v>
      </c>
      <c r="B39" s="12" t="n">
        <v>17</v>
      </c>
      <c r="C39" s="2"/>
    </row>
    <row r="40" customFormat="false" ht="15" hidden="false" customHeight="false" outlineLevel="0" collapsed="false">
      <c r="A40" s="4" t="s">
        <v>30</v>
      </c>
      <c r="B40" s="12" t="n">
        <v>17</v>
      </c>
      <c r="C40" s="2"/>
    </row>
    <row r="41" customFormat="false" ht="15" hidden="false" customHeight="false" outlineLevel="0" collapsed="false">
      <c r="A41" s="4" t="s">
        <v>56</v>
      </c>
      <c r="B41" s="12" t="n">
        <v>5</v>
      </c>
      <c r="C41" s="2"/>
    </row>
    <row r="42" customFormat="false" ht="15" hidden="false" customHeight="false" outlineLevel="0" collapsed="false">
      <c r="A42" s="4" t="s">
        <v>57</v>
      </c>
      <c r="B42" s="12" t="n">
        <v>5</v>
      </c>
      <c r="C42" s="2"/>
    </row>
    <row r="43" customFormat="false" ht="15" hidden="false" customHeight="false" outlineLevel="0" collapsed="false">
      <c r="A43" s="4" t="s">
        <v>58</v>
      </c>
      <c r="B43" s="12" t="n">
        <v>0.8</v>
      </c>
      <c r="C43" s="2" t="s">
        <v>59</v>
      </c>
    </row>
    <row r="45" customFormat="false" ht="15" hidden="false" customHeight="false" outlineLevel="0" collapsed="false">
      <c r="A45" s="3" t="s">
        <v>60</v>
      </c>
      <c r="B45" s="3"/>
      <c r="C45" s="3"/>
    </row>
    <row r="46" customFormat="false" ht="15" hidden="false" customHeight="false" outlineLevel="0" collapsed="false">
      <c r="A46" s="4" t="s">
        <v>61</v>
      </c>
      <c r="B46" s="5" t="n">
        <v>10000</v>
      </c>
      <c r="C46" s="2" t="s">
        <v>62</v>
      </c>
    </row>
    <row r="47" customFormat="false" ht="15" hidden="false" customHeight="false" outlineLevel="0" collapsed="false">
      <c r="A47" s="4" t="s">
        <v>63</v>
      </c>
      <c r="B47" s="5" t="n">
        <v>30000</v>
      </c>
      <c r="C47" s="2" t="s">
        <v>64</v>
      </c>
    </row>
    <row r="49" customFormat="false" ht="15" hidden="false" customHeight="false" outlineLevel="0" collapsed="false">
      <c r="A49" s="3" t="s">
        <v>65</v>
      </c>
      <c r="B49" s="3"/>
      <c r="C49" s="3"/>
    </row>
    <row r="50" customFormat="false" ht="15" hidden="false" customHeight="false" outlineLevel="0" collapsed="false">
      <c r="A50" s="4" t="s">
        <v>66</v>
      </c>
      <c r="B50" s="10" t="n">
        <v>0</v>
      </c>
      <c r="C50" s="2" t="s">
        <v>67</v>
      </c>
    </row>
    <row r="51" customFormat="false" ht="15" hidden="false" customHeight="false" outlineLevel="0" collapsed="false">
      <c r="A51" s="4" t="s">
        <v>68</v>
      </c>
      <c r="B51" s="10" t="n">
        <v>45</v>
      </c>
      <c r="C51" s="2" t="s">
        <v>69</v>
      </c>
    </row>
    <row r="52" customFormat="false" ht="15" hidden="false" customHeight="false" outlineLevel="0" collapsed="false">
      <c r="A52" s="4" t="s">
        <v>70</v>
      </c>
      <c r="B52" s="15" t="n">
        <v>8000</v>
      </c>
      <c r="C52" s="2"/>
    </row>
    <row r="53" customFormat="false" ht="15" hidden="false" customHeight="false" outlineLevel="0" collapsed="false">
      <c r="A53" s="4" t="s">
        <v>71</v>
      </c>
      <c r="B53" s="10" t="n">
        <v>200</v>
      </c>
      <c r="C53" s="2" t="s">
        <v>72</v>
      </c>
    </row>
  </sheetData>
  <mergeCells count="7">
    <mergeCell ref="A3:C3"/>
    <mergeCell ref="A13:C13"/>
    <mergeCell ref="A19:C19"/>
    <mergeCell ref="A28:C28"/>
    <mergeCell ref="A36:C36"/>
    <mergeCell ref="A45:C45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4" min="11" style="0" width="11"/>
    <col collapsed="false" customWidth="true" hidden="false" outlineLevel="0" max="16" min="15" style="0" width="8"/>
    <col collapsed="false" customWidth="true" hidden="false" outlineLevel="0" max="18" min="17" style="0" width="11"/>
    <col collapsed="false" customWidth="true" hidden="false" outlineLevel="0" max="19" min="19" style="0" width="13"/>
    <col collapsed="false" customWidth="true" hidden="false" outlineLevel="0" max="35" min="21" style="0" width="7"/>
  </cols>
  <sheetData>
    <row r="1" customFormat="false" ht="30" hidden="false" customHeight="true" outlineLevel="0" collapsed="false">
      <c r="A1" s="16" t="s">
        <v>73</v>
      </c>
      <c r="B1" s="16" t="s">
        <v>74</v>
      </c>
      <c r="C1" s="16" t="s">
        <v>75</v>
      </c>
      <c r="D1" s="16" t="s">
        <v>76</v>
      </c>
      <c r="E1" s="16" t="s">
        <v>77</v>
      </c>
      <c r="F1" s="16" t="s">
        <v>78</v>
      </c>
      <c r="G1" s="16" t="s">
        <v>79</v>
      </c>
      <c r="H1" s="16" t="s">
        <v>80</v>
      </c>
      <c r="I1" s="16" t="s">
        <v>81</v>
      </c>
      <c r="J1" s="16" t="s">
        <v>82</v>
      </c>
      <c r="K1" s="16" t="s">
        <v>83</v>
      </c>
      <c r="L1" s="16" t="s">
        <v>84</v>
      </c>
      <c r="M1" s="16" t="s">
        <v>85</v>
      </c>
      <c r="N1" s="16" t="s">
        <v>86</v>
      </c>
      <c r="O1" s="16" t="s">
        <v>87</v>
      </c>
      <c r="P1" s="16" t="s">
        <v>88</v>
      </c>
      <c r="Q1" s="16" t="s">
        <v>89</v>
      </c>
      <c r="R1" s="16" t="s">
        <v>90</v>
      </c>
      <c r="S1" s="16" t="s">
        <v>91</v>
      </c>
      <c r="U1" s="17" t="s">
        <v>92</v>
      </c>
      <c r="V1" s="17" t="s">
        <v>93</v>
      </c>
      <c r="W1" s="17" t="s">
        <v>94</v>
      </c>
      <c r="X1" s="17" t="s">
        <v>95</v>
      </c>
      <c r="Y1" s="17" t="s">
        <v>96</v>
      </c>
      <c r="Z1" s="17" t="s">
        <v>97</v>
      </c>
      <c r="AA1" s="17" t="s">
        <v>98</v>
      </c>
      <c r="AB1" s="17" t="s">
        <v>99</v>
      </c>
      <c r="AC1" s="17" t="s">
        <v>100</v>
      </c>
      <c r="AD1" s="17" t="s">
        <v>101</v>
      </c>
      <c r="AE1" s="17" t="s">
        <v>102</v>
      </c>
      <c r="AF1" s="17" t="s">
        <v>103</v>
      </c>
      <c r="AG1" s="17" t="s">
        <v>104</v>
      </c>
      <c r="AH1" s="17" t="s">
        <v>105</v>
      </c>
      <c r="AI1" s="17" t="s">
        <v>106</v>
      </c>
    </row>
    <row r="2" customFormat="false" ht="15" hidden="false" customHeight="false" outlineLevel="0" collapsed="false">
      <c r="A2" s="18" t="n">
        <v>1</v>
      </c>
      <c r="B2" s="18" t="s">
        <v>107</v>
      </c>
      <c r="C2" s="19" t="n">
        <f aca="false">SUMPRODUCT(--(Assumptions!$B$14:$B$17&lt;=$A2))</f>
        <v>1</v>
      </c>
      <c r="D2" s="20" t="n">
        <f aca="false">SUM(U2:X2)</f>
        <v>277.777777777778</v>
      </c>
      <c r="E2" s="20" t="n">
        <f aca="false">SUM(Y2:AB2)</f>
        <v>2.08333333333333</v>
      </c>
      <c r="F2" s="21" t="n">
        <f aca="false">E2*Assumptions!$B$9</f>
        <v>122.916666666667</v>
      </c>
      <c r="G2" s="21" t="n">
        <f aca="false">D2*Assumptions!$B$29*Assumptions!$B$30*Assumptions!$B$31</f>
        <v>30</v>
      </c>
      <c r="H2" s="21" t="n">
        <f aca="false">D2*Assumptions!$B$32*Assumptions!$B$33</f>
        <v>29.0833333333333</v>
      </c>
      <c r="I2" s="21" t="n">
        <f aca="false">D2*Assumptions!$B$26*Assumptions!$B$34/1000*Assumptions!$B$11</f>
        <v>0</v>
      </c>
      <c r="J2" s="21" t="n">
        <f aca="false">SUM(F2:I2)</f>
        <v>182</v>
      </c>
      <c r="K2" s="21" t="n">
        <f aca="false">MAX(0,(AC2+AD2+AE2+AF2+AG2)-Assumptions!$B$47)/1000*Assumptions!$B$43</f>
        <v>0</v>
      </c>
      <c r="L2" s="21" t="n">
        <f aca="false">MAX(0,AD2-Assumptions!$B$46)/1000*Assumptions!$B$39+MAX(0,AE2-Assumptions!$B$46)/1000*Assumptions!$B$40+MAX(0,(AC2+AF2+AG2)-Assumptions!$B$47)/1000*Assumptions!$B$43</f>
        <v>0</v>
      </c>
      <c r="M2" s="21" t="n">
        <f aca="false">MAX(0,AC2-Assumptions!$B$46)/1000*Assumptions!$B$38+MAX(0,AD2-Assumptions!$B$46)/1000*Assumptions!$B$39+MAX(0,AE2-Assumptions!$B$46)/1000*Assumptions!$B$40+MAX(0,AF2-Assumptions!$B$46)/1000*Assumptions!$B$41+MAX(0,AG2-Assumptions!$B$46)/1000*Assumptions!$B$42</f>
        <v>0</v>
      </c>
      <c r="N2" s="21" t="n">
        <f aca="false">CHOOSE(Assumptions!$B$10,K2,L2,M2)</f>
        <v>0</v>
      </c>
      <c r="O2" s="21" t="n">
        <f aca="false">IF(D2&gt;Assumptions!$B$52,Assumptions!$B$51,Assumptions!$B$50)</f>
        <v>0</v>
      </c>
      <c r="P2" s="21" t="n">
        <f aca="false">Assumptions!$B$53</f>
        <v>200</v>
      </c>
      <c r="Q2" s="21" t="n">
        <f aca="false">N2+O2+P2</f>
        <v>200</v>
      </c>
      <c r="R2" s="22" t="n">
        <f aca="false">J2-Q2</f>
        <v>-18</v>
      </c>
      <c r="S2" s="23" t="n">
        <f aca="false">R2</f>
        <v>-18</v>
      </c>
      <c r="U2" s="24" t="n">
        <f aca="false">IF($A2&gt;=Assumptions!$B$14,MIN(Assumptions!$B$5,Assumptions!$B$5*($A2-Assumptions!$B$14+1)/Assumptions!$B$6),0)</f>
        <v>277.777777777778</v>
      </c>
      <c r="V2" s="24" t="n">
        <f aca="false">IF($A2&gt;=Assumptions!$B$15,MIN(Assumptions!$B$5,Assumptions!$B$5*($A2-Assumptions!$B$15+1)/Assumptions!$B$6),0)</f>
        <v>0</v>
      </c>
      <c r="W2" s="24" t="n">
        <f aca="false">IF($A2&gt;=Assumptions!$B$16,MIN(Assumptions!$B$5,Assumptions!$B$5*($A2-Assumptions!$B$16+1)/Assumptions!$B$6),0)</f>
        <v>0</v>
      </c>
      <c r="X2" s="24" t="n">
        <f aca="false">IF($A2&gt;=Assumptions!$B$17,MIN(Assumptions!$B$5,Assumptions!$B$5*($A2-Assumptions!$B$17+1)/Assumptions!$B$6),0)</f>
        <v>0</v>
      </c>
      <c r="Y2" s="24" t="n">
        <f aca="false">IF($A2&gt;=Assumptions!$B$14,Assumptions!$B$7*MIN(1,($A2-Assumptions!$B$14+1)/Assumptions!$B$8),0)</f>
        <v>2.08333333333333</v>
      </c>
      <c r="Z2" s="24" t="n">
        <f aca="false">IF($A2&gt;=Assumptions!$B$15,Assumptions!$B$7*MIN(1,($A2-Assumptions!$B$15+1)/Assumptions!$B$8),0)</f>
        <v>0</v>
      </c>
      <c r="AA2" s="24" t="n">
        <f aca="false">IF($A2&gt;=Assumptions!$B$16,Assumptions!$B$7*MIN(1,($A2-Assumptions!$B$16+1)/Assumptions!$B$8),0)</f>
        <v>0</v>
      </c>
      <c r="AB2" s="24" t="n">
        <f aca="false">IF($A2&gt;=Assumptions!$B$17,Assumptions!$B$7*MIN(1,($A2-Assumptions!$B$17+1)/Assumptions!$B$8),0)</f>
        <v>0</v>
      </c>
      <c r="AC2" s="24" t="n">
        <f aca="false">D2*Assumptions!$B$21</f>
        <v>2222.22222222222</v>
      </c>
      <c r="AD2" s="24" t="n">
        <f aca="false">D2*Assumptions!$B$22</f>
        <v>1388.88888888889</v>
      </c>
      <c r="AE2" s="24" t="n">
        <f aca="false">D2*Assumptions!$B$23</f>
        <v>833.333333333333</v>
      </c>
      <c r="AF2" s="24" t="n">
        <f aca="false">D2*Assumptions!$B$24</f>
        <v>555.555555555556</v>
      </c>
      <c r="AG2" s="24" t="n">
        <f aca="false">D2*Assumptions!$B$25</f>
        <v>1666.66666666667</v>
      </c>
      <c r="AH2" s="24" t="n">
        <f aca="false">IF(R2&gt;=0,A2,0)</f>
        <v>0</v>
      </c>
      <c r="AI2" s="24" t="n">
        <f aca="false">IF(S2&gt;=0,A2,0)</f>
        <v>0</v>
      </c>
    </row>
    <row r="3" customFormat="false" ht="15" hidden="false" customHeight="false" outlineLevel="0" collapsed="false">
      <c r="A3" s="18" t="n">
        <v>2</v>
      </c>
      <c r="B3" s="18" t="s">
        <v>108</v>
      </c>
      <c r="C3" s="19" t="n">
        <f aca="false">SUMPRODUCT(--(Assumptions!$B$14:$B$17&lt;=$A3))</f>
        <v>1</v>
      </c>
      <c r="D3" s="20" t="n">
        <f aca="false">SUM(U3:X3)</f>
        <v>555.555555555556</v>
      </c>
      <c r="E3" s="20" t="n">
        <f aca="false">SUM(Y3:AB3)</f>
        <v>4.16666666666667</v>
      </c>
      <c r="F3" s="21" t="n">
        <f aca="false">E3*Assumptions!$B$9</f>
        <v>245.833333333333</v>
      </c>
      <c r="G3" s="21" t="n">
        <f aca="false">D3*Assumptions!$B$29*Assumptions!$B$30*Assumptions!$B$31</f>
        <v>60</v>
      </c>
      <c r="H3" s="21" t="n">
        <f aca="false">D3*Assumptions!$B$32*Assumptions!$B$33</f>
        <v>58.1666666666667</v>
      </c>
      <c r="I3" s="21" t="n">
        <f aca="false">D3*Assumptions!$B$26*Assumptions!$B$34/1000*Assumptions!$B$11</f>
        <v>0</v>
      </c>
      <c r="J3" s="21" t="n">
        <f aca="false">SUM(F3:I3)</f>
        <v>364</v>
      </c>
      <c r="K3" s="21" t="n">
        <f aca="false">MAX(0,(AC3+AD3+AE3+AF3+AG3)-Assumptions!$B$47)/1000*Assumptions!$B$43</f>
        <v>0</v>
      </c>
      <c r="L3" s="21" t="n">
        <f aca="false">MAX(0,AD3-Assumptions!$B$46)/1000*Assumptions!$B$39+MAX(0,AE3-Assumptions!$B$46)/1000*Assumptions!$B$40+MAX(0,(AC3+AF3+AG3)-Assumptions!$B$47)/1000*Assumptions!$B$43</f>
        <v>0</v>
      </c>
      <c r="M3" s="21" t="n">
        <f aca="false">MAX(0,AC3-Assumptions!$B$46)/1000*Assumptions!$B$38+MAX(0,AD3-Assumptions!$B$46)/1000*Assumptions!$B$39+MAX(0,AE3-Assumptions!$B$46)/1000*Assumptions!$B$40+MAX(0,AF3-Assumptions!$B$46)/1000*Assumptions!$B$41+MAX(0,AG3-Assumptions!$B$46)/1000*Assumptions!$B$42</f>
        <v>0</v>
      </c>
      <c r="N3" s="21" t="n">
        <f aca="false">CHOOSE(Assumptions!$B$10,K3,L3,M3)</f>
        <v>0</v>
      </c>
      <c r="O3" s="21" t="n">
        <f aca="false">IF(D3&gt;Assumptions!$B$52,Assumptions!$B$51,Assumptions!$B$50)</f>
        <v>0</v>
      </c>
      <c r="P3" s="21" t="n">
        <f aca="false">Assumptions!$B$53</f>
        <v>200</v>
      </c>
      <c r="Q3" s="21" t="n">
        <f aca="false">N3+O3+P3</f>
        <v>200</v>
      </c>
      <c r="R3" s="22" t="n">
        <f aca="false">J3-Q3</f>
        <v>164</v>
      </c>
      <c r="S3" s="23" t="n">
        <f aca="false">S2+R3</f>
        <v>146</v>
      </c>
      <c r="U3" s="24" t="n">
        <f aca="false">IF($A3&gt;=Assumptions!$B$14,MIN(Assumptions!$B$5,Assumptions!$B$5*($A3-Assumptions!$B$14+1)/Assumptions!$B$6),0)</f>
        <v>555.555555555556</v>
      </c>
      <c r="V3" s="24" t="n">
        <f aca="false">IF($A3&gt;=Assumptions!$B$15,MIN(Assumptions!$B$5,Assumptions!$B$5*($A3-Assumptions!$B$15+1)/Assumptions!$B$6),0)</f>
        <v>0</v>
      </c>
      <c r="W3" s="24" t="n">
        <f aca="false">IF($A3&gt;=Assumptions!$B$16,MIN(Assumptions!$B$5,Assumptions!$B$5*($A3-Assumptions!$B$16+1)/Assumptions!$B$6),0)</f>
        <v>0</v>
      </c>
      <c r="X3" s="24" t="n">
        <f aca="false">IF($A3&gt;=Assumptions!$B$17,MIN(Assumptions!$B$5,Assumptions!$B$5*($A3-Assumptions!$B$17+1)/Assumptions!$B$6),0)</f>
        <v>0</v>
      </c>
      <c r="Y3" s="24" t="n">
        <f aca="false">IF($A3&gt;=Assumptions!$B$14,Assumptions!$B$7*MIN(1,($A3-Assumptions!$B$14+1)/Assumptions!$B$8),0)</f>
        <v>4.16666666666667</v>
      </c>
      <c r="Z3" s="24" t="n">
        <f aca="false">IF($A3&gt;=Assumptions!$B$15,Assumptions!$B$7*MIN(1,($A3-Assumptions!$B$15+1)/Assumptions!$B$8),0)</f>
        <v>0</v>
      </c>
      <c r="AA3" s="24" t="n">
        <f aca="false">IF($A3&gt;=Assumptions!$B$16,Assumptions!$B$7*MIN(1,($A3-Assumptions!$B$16+1)/Assumptions!$B$8),0)</f>
        <v>0</v>
      </c>
      <c r="AB3" s="24" t="n">
        <f aca="false">IF($A3&gt;=Assumptions!$B$17,Assumptions!$B$7*MIN(1,($A3-Assumptions!$B$17+1)/Assumptions!$B$8),0)</f>
        <v>0</v>
      </c>
      <c r="AC3" s="24" t="n">
        <f aca="false">D3*Assumptions!$B$21</f>
        <v>4444.44444444444</v>
      </c>
      <c r="AD3" s="24" t="n">
        <f aca="false">D3*Assumptions!$B$22</f>
        <v>2777.77777777778</v>
      </c>
      <c r="AE3" s="24" t="n">
        <f aca="false">D3*Assumptions!$B$23</f>
        <v>1666.66666666667</v>
      </c>
      <c r="AF3" s="24" t="n">
        <f aca="false">D3*Assumptions!$B$24</f>
        <v>1111.11111111111</v>
      </c>
      <c r="AG3" s="24" t="n">
        <f aca="false">D3*Assumptions!$B$25</f>
        <v>3333.33333333333</v>
      </c>
      <c r="AH3" s="24" t="n">
        <f aca="false">IF(AND(R3&gt;=0,R2&lt;0),A3,0)</f>
        <v>2</v>
      </c>
      <c r="AI3" s="24" t="n">
        <f aca="false">IF(AND(S3&gt;=0,S2&lt;0),A3,0)</f>
        <v>2</v>
      </c>
    </row>
    <row r="4" customFormat="false" ht="15" hidden="false" customHeight="false" outlineLevel="0" collapsed="false">
      <c r="A4" s="18" t="n">
        <v>3</v>
      </c>
      <c r="B4" s="18" t="s">
        <v>109</v>
      </c>
      <c r="C4" s="19" t="n">
        <f aca="false">SUMPRODUCT(--(Assumptions!$B$14:$B$17&lt;=$A4))</f>
        <v>1</v>
      </c>
      <c r="D4" s="20" t="n">
        <f aca="false">SUM(U4:X4)</f>
        <v>833.333333333333</v>
      </c>
      <c r="E4" s="20" t="n">
        <f aca="false">SUM(Y4:AB4)</f>
        <v>6.25</v>
      </c>
      <c r="F4" s="21" t="n">
        <f aca="false">E4*Assumptions!$B$9</f>
        <v>368.75</v>
      </c>
      <c r="G4" s="21" t="n">
        <f aca="false">D4*Assumptions!$B$29*Assumptions!$B$30*Assumptions!$B$31</f>
        <v>90</v>
      </c>
      <c r="H4" s="21" t="n">
        <f aca="false">D4*Assumptions!$B$32*Assumptions!$B$33</f>
        <v>87.25</v>
      </c>
      <c r="I4" s="21" t="n">
        <f aca="false">D4*Assumptions!$B$26*Assumptions!$B$34/1000*Assumptions!$B$11</f>
        <v>0</v>
      </c>
      <c r="J4" s="21" t="n">
        <f aca="false">SUM(F4:I4)</f>
        <v>546</v>
      </c>
      <c r="K4" s="21" t="n">
        <f aca="false">MAX(0,(AC4+AD4+AE4+AF4+AG4)-Assumptions!$B$47)/1000*Assumptions!$B$43</f>
        <v>0</v>
      </c>
      <c r="L4" s="21" t="n">
        <f aca="false">MAX(0,AD4-Assumptions!$B$46)/1000*Assumptions!$B$39+MAX(0,AE4-Assumptions!$B$46)/1000*Assumptions!$B$40+MAX(0,(AC4+AF4+AG4)-Assumptions!$B$47)/1000*Assumptions!$B$43</f>
        <v>0</v>
      </c>
      <c r="M4" s="21" t="n">
        <f aca="false">MAX(0,AC4-Assumptions!$B$46)/1000*Assumptions!$B$38+MAX(0,AD4-Assumptions!$B$46)/1000*Assumptions!$B$39+MAX(0,AE4-Assumptions!$B$46)/1000*Assumptions!$B$40+MAX(0,AF4-Assumptions!$B$46)/1000*Assumptions!$B$41+MAX(0,AG4-Assumptions!$B$46)/1000*Assumptions!$B$42</f>
        <v>0</v>
      </c>
      <c r="N4" s="21" t="n">
        <f aca="false">CHOOSE(Assumptions!$B$10,K4,L4,M4)</f>
        <v>0</v>
      </c>
      <c r="O4" s="21" t="n">
        <f aca="false">IF(D4&gt;Assumptions!$B$52,Assumptions!$B$51,Assumptions!$B$50)</f>
        <v>0</v>
      </c>
      <c r="P4" s="21" t="n">
        <f aca="false">Assumptions!$B$53</f>
        <v>200</v>
      </c>
      <c r="Q4" s="21" t="n">
        <f aca="false">N4+O4+P4</f>
        <v>200</v>
      </c>
      <c r="R4" s="22" t="n">
        <f aca="false">J4-Q4</f>
        <v>346</v>
      </c>
      <c r="S4" s="23" t="n">
        <f aca="false">S3+R4</f>
        <v>492</v>
      </c>
      <c r="U4" s="24" t="n">
        <f aca="false">IF($A4&gt;=Assumptions!$B$14,MIN(Assumptions!$B$5,Assumptions!$B$5*($A4-Assumptions!$B$14+1)/Assumptions!$B$6),0)</f>
        <v>833.333333333333</v>
      </c>
      <c r="V4" s="24" t="n">
        <f aca="false">IF($A4&gt;=Assumptions!$B$15,MIN(Assumptions!$B$5,Assumptions!$B$5*($A4-Assumptions!$B$15+1)/Assumptions!$B$6),0)</f>
        <v>0</v>
      </c>
      <c r="W4" s="24" t="n">
        <f aca="false">IF($A4&gt;=Assumptions!$B$16,MIN(Assumptions!$B$5,Assumptions!$B$5*($A4-Assumptions!$B$16+1)/Assumptions!$B$6),0)</f>
        <v>0</v>
      </c>
      <c r="X4" s="24" t="n">
        <f aca="false">IF($A4&gt;=Assumptions!$B$17,MIN(Assumptions!$B$5,Assumptions!$B$5*($A4-Assumptions!$B$17+1)/Assumptions!$B$6),0)</f>
        <v>0</v>
      </c>
      <c r="Y4" s="24" t="n">
        <f aca="false">IF($A4&gt;=Assumptions!$B$14,Assumptions!$B$7*MIN(1,($A4-Assumptions!$B$14+1)/Assumptions!$B$8),0)</f>
        <v>6.25</v>
      </c>
      <c r="Z4" s="24" t="n">
        <f aca="false">IF($A4&gt;=Assumptions!$B$15,Assumptions!$B$7*MIN(1,($A4-Assumptions!$B$15+1)/Assumptions!$B$8),0)</f>
        <v>0</v>
      </c>
      <c r="AA4" s="24" t="n">
        <f aca="false">IF($A4&gt;=Assumptions!$B$16,Assumptions!$B$7*MIN(1,($A4-Assumptions!$B$16+1)/Assumptions!$B$8),0)</f>
        <v>0</v>
      </c>
      <c r="AB4" s="24" t="n">
        <f aca="false">IF($A4&gt;=Assumptions!$B$17,Assumptions!$B$7*MIN(1,($A4-Assumptions!$B$17+1)/Assumptions!$B$8),0)</f>
        <v>0</v>
      </c>
      <c r="AC4" s="24" t="n">
        <f aca="false">D4*Assumptions!$B$21</f>
        <v>6666.66666666667</v>
      </c>
      <c r="AD4" s="24" t="n">
        <f aca="false">D4*Assumptions!$B$22</f>
        <v>4166.66666666667</v>
      </c>
      <c r="AE4" s="24" t="n">
        <f aca="false">D4*Assumptions!$B$23</f>
        <v>2500</v>
      </c>
      <c r="AF4" s="24" t="n">
        <f aca="false">D4*Assumptions!$B$24</f>
        <v>1666.66666666667</v>
      </c>
      <c r="AG4" s="24" t="n">
        <f aca="false">D4*Assumptions!$B$25</f>
        <v>5000</v>
      </c>
      <c r="AH4" s="24" t="n">
        <f aca="false">IF(AND(R4&gt;=0,R3&lt;0),A4,0)</f>
        <v>0</v>
      </c>
      <c r="AI4" s="24" t="n">
        <f aca="false">IF(AND(S4&gt;=0,S3&lt;0),A4,0)</f>
        <v>0</v>
      </c>
    </row>
    <row r="5" customFormat="false" ht="15" hidden="false" customHeight="false" outlineLevel="0" collapsed="false">
      <c r="A5" s="18" t="n">
        <v>4</v>
      </c>
      <c r="B5" s="18" t="s">
        <v>110</v>
      </c>
      <c r="C5" s="19" t="n">
        <f aca="false">SUMPRODUCT(--(Assumptions!$B$14:$B$17&lt;=$A5))</f>
        <v>1</v>
      </c>
      <c r="D5" s="20" t="n">
        <f aca="false">SUM(U5:X5)</f>
        <v>1111.11111111111</v>
      </c>
      <c r="E5" s="20" t="n">
        <f aca="false">SUM(Y5:AB5)</f>
        <v>8.33333333333333</v>
      </c>
      <c r="F5" s="21" t="n">
        <f aca="false">E5*Assumptions!$B$9</f>
        <v>491.666666666667</v>
      </c>
      <c r="G5" s="21" t="n">
        <f aca="false">D5*Assumptions!$B$29*Assumptions!$B$30*Assumptions!$B$31</f>
        <v>120</v>
      </c>
      <c r="H5" s="21" t="n">
        <f aca="false">D5*Assumptions!$B$32*Assumptions!$B$33</f>
        <v>116.333333333333</v>
      </c>
      <c r="I5" s="21" t="n">
        <f aca="false">D5*Assumptions!$B$26*Assumptions!$B$34/1000*Assumptions!$B$11</f>
        <v>0</v>
      </c>
      <c r="J5" s="21" t="n">
        <f aca="false">SUM(F5:I5)</f>
        <v>728</v>
      </c>
      <c r="K5" s="21" t="n">
        <f aca="false">MAX(0,(AC5+AD5+AE5+AF5+AG5)-Assumptions!$B$47)/1000*Assumptions!$B$43</f>
        <v>0</v>
      </c>
      <c r="L5" s="21" t="n">
        <f aca="false">MAX(0,AD5-Assumptions!$B$46)/1000*Assumptions!$B$39+MAX(0,AE5-Assumptions!$B$46)/1000*Assumptions!$B$40+MAX(0,(AC5+AF5+AG5)-Assumptions!$B$47)/1000*Assumptions!$B$43</f>
        <v>0</v>
      </c>
      <c r="M5" s="21" t="n">
        <f aca="false">MAX(0,AC5-Assumptions!$B$46)/1000*Assumptions!$B$38+MAX(0,AD5-Assumptions!$B$46)/1000*Assumptions!$B$39+MAX(0,AE5-Assumptions!$B$46)/1000*Assumptions!$B$40+MAX(0,AF5-Assumptions!$B$46)/1000*Assumptions!$B$41+MAX(0,AG5-Assumptions!$B$46)/1000*Assumptions!$B$42</f>
        <v>0</v>
      </c>
      <c r="N5" s="21" t="n">
        <f aca="false">CHOOSE(Assumptions!$B$10,K5,L5,M5)</f>
        <v>0</v>
      </c>
      <c r="O5" s="21" t="n">
        <f aca="false">IF(D5&gt;Assumptions!$B$52,Assumptions!$B$51,Assumptions!$B$50)</f>
        <v>0</v>
      </c>
      <c r="P5" s="21" t="n">
        <f aca="false">Assumptions!$B$53</f>
        <v>200</v>
      </c>
      <c r="Q5" s="21" t="n">
        <f aca="false">N5+O5+P5</f>
        <v>200</v>
      </c>
      <c r="R5" s="22" t="n">
        <f aca="false">J5-Q5</f>
        <v>528</v>
      </c>
      <c r="S5" s="23" t="n">
        <f aca="false">S4+R5</f>
        <v>1020</v>
      </c>
      <c r="U5" s="24" t="n">
        <f aca="false">IF($A5&gt;=Assumptions!$B$14,MIN(Assumptions!$B$5,Assumptions!$B$5*($A5-Assumptions!$B$14+1)/Assumptions!$B$6),0)</f>
        <v>1111.11111111111</v>
      </c>
      <c r="V5" s="24" t="n">
        <f aca="false">IF($A5&gt;=Assumptions!$B$15,MIN(Assumptions!$B$5,Assumptions!$B$5*($A5-Assumptions!$B$15+1)/Assumptions!$B$6),0)</f>
        <v>0</v>
      </c>
      <c r="W5" s="24" t="n">
        <f aca="false">IF($A5&gt;=Assumptions!$B$16,MIN(Assumptions!$B$5,Assumptions!$B$5*($A5-Assumptions!$B$16+1)/Assumptions!$B$6),0)</f>
        <v>0</v>
      </c>
      <c r="X5" s="24" t="n">
        <f aca="false">IF($A5&gt;=Assumptions!$B$17,MIN(Assumptions!$B$5,Assumptions!$B$5*($A5-Assumptions!$B$17+1)/Assumptions!$B$6),0)</f>
        <v>0</v>
      </c>
      <c r="Y5" s="24" t="n">
        <f aca="false">IF($A5&gt;=Assumptions!$B$14,Assumptions!$B$7*MIN(1,($A5-Assumptions!$B$14+1)/Assumptions!$B$8),0)</f>
        <v>8.33333333333333</v>
      </c>
      <c r="Z5" s="24" t="n">
        <f aca="false">IF($A5&gt;=Assumptions!$B$15,Assumptions!$B$7*MIN(1,($A5-Assumptions!$B$15+1)/Assumptions!$B$8),0)</f>
        <v>0</v>
      </c>
      <c r="AA5" s="24" t="n">
        <f aca="false">IF($A5&gt;=Assumptions!$B$16,Assumptions!$B$7*MIN(1,($A5-Assumptions!$B$16+1)/Assumptions!$B$8),0)</f>
        <v>0</v>
      </c>
      <c r="AB5" s="24" t="n">
        <f aca="false">IF($A5&gt;=Assumptions!$B$17,Assumptions!$B$7*MIN(1,($A5-Assumptions!$B$17+1)/Assumptions!$B$8),0)</f>
        <v>0</v>
      </c>
      <c r="AC5" s="24" t="n">
        <f aca="false">D5*Assumptions!$B$21</f>
        <v>8888.88888888889</v>
      </c>
      <c r="AD5" s="24" t="n">
        <f aca="false">D5*Assumptions!$B$22</f>
        <v>5555.55555555556</v>
      </c>
      <c r="AE5" s="24" t="n">
        <f aca="false">D5*Assumptions!$B$23</f>
        <v>3333.33333333333</v>
      </c>
      <c r="AF5" s="24" t="n">
        <f aca="false">D5*Assumptions!$B$24</f>
        <v>2222.22222222222</v>
      </c>
      <c r="AG5" s="24" t="n">
        <f aca="false">D5*Assumptions!$B$25</f>
        <v>6666.66666666667</v>
      </c>
      <c r="AH5" s="24" t="n">
        <f aca="false">IF(AND(R5&gt;=0,R4&lt;0),A5,0)</f>
        <v>0</v>
      </c>
      <c r="AI5" s="24" t="n">
        <f aca="false">IF(AND(S5&gt;=0,S4&lt;0),A5,0)</f>
        <v>0</v>
      </c>
    </row>
    <row r="6" customFormat="false" ht="15" hidden="false" customHeight="false" outlineLevel="0" collapsed="false">
      <c r="A6" s="18" t="n">
        <v>5</v>
      </c>
      <c r="B6" s="18" t="s">
        <v>111</v>
      </c>
      <c r="C6" s="19" t="n">
        <f aca="false">SUMPRODUCT(--(Assumptions!$B$14:$B$17&lt;=$A6))</f>
        <v>1</v>
      </c>
      <c r="D6" s="20" t="n">
        <f aca="false">SUM(U6:X6)</f>
        <v>1388.88888888889</v>
      </c>
      <c r="E6" s="20" t="n">
        <f aca="false">SUM(Y6:AB6)</f>
        <v>10.4166666666667</v>
      </c>
      <c r="F6" s="21" t="n">
        <f aca="false">E6*Assumptions!$B$9</f>
        <v>614.583333333333</v>
      </c>
      <c r="G6" s="21" t="n">
        <f aca="false">D6*Assumptions!$B$29*Assumptions!$B$30*Assumptions!$B$31</f>
        <v>150</v>
      </c>
      <c r="H6" s="21" t="n">
        <f aca="false">D6*Assumptions!$B$32*Assumptions!$B$33</f>
        <v>145.416666666667</v>
      </c>
      <c r="I6" s="21" t="n">
        <f aca="false">D6*Assumptions!$B$26*Assumptions!$B$34/1000*Assumptions!$B$11</f>
        <v>0</v>
      </c>
      <c r="J6" s="21" t="n">
        <f aca="false">SUM(F6:I6)</f>
        <v>910</v>
      </c>
      <c r="K6" s="21" t="n">
        <f aca="false">MAX(0,(AC6+AD6+AE6+AF6+AG6)-Assumptions!$B$47)/1000*Assumptions!$B$43</f>
        <v>2.66666666666667</v>
      </c>
      <c r="L6" s="21" t="n">
        <f aca="false">MAX(0,AD6-Assumptions!$B$46)/1000*Assumptions!$B$39+MAX(0,AE6-Assumptions!$B$46)/1000*Assumptions!$B$40+MAX(0,(AC6+AF6+AG6)-Assumptions!$B$47)/1000*Assumptions!$B$43</f>
        <v>0</v>
      </c>
      <c r="M6" s="21" t="n">
        <f aca="false">MAX(0,AC6-Assumptions!$B$46)/1000*Assumptions!$B$38+MAX(0,AD6-Assumptions!$B$46)/1000*Assumptions!$B$39+MAX(0,AE6-Assumptions!$B$46)/1000*Assumptions!$B$40+MAX(0,AF6-Assumptions!$B$46)/1000*Assumptions!$B$41+MAX(0,AG6-Assumptions!$B$46)/1000*Assumptions!$B$42</f>
        <v>7.77777777777778</v>
      </c>
      <c r="N6" s="21" t="n">
        <f aca="false">CHOOSE(Assumptions!$B$10,K6,L6,M6)</f>
        <v>0</v>
      </c>
      <c r="O6" s="21" t="n">
        <f aca="false">IF(D6&gt;Assumptions!$B$52,Assumptions!$B$51,Assumptions!$B$50)</f>
        <v>0</v>
      </c>
      <c r="P6" s="21" t="n">
        <f aca="false">Assumptions!$B$53</f>
        <v>200</v>
      </c>
      <c r="Q6" s="21" t="n">
        <f aca="false">N6+O6+P6</f>
        <v>200</v>
      </c>
      <c r="R6" s="22" t="n">
        <f aca="false">J6-Q6</f>
        <v>710</v>
      </c>
      <c r="S6" s="23" t="n">
        <f aca="false">S5+R6</f>
        <v>1730</v>
      </c>
      <c r="U6" s="24" t="n">
        <f aca="false">IF($A6&gt;=Assumptions!$B$14,MIN(Assumptions!$B$5,Assumptions!$B$5*($A6-Assumptions!$B$14+1)/Assumptions!$B$6),0)</f>
        <v>1388.88888888889</v>
      </c>
      <c r="V6" s="24" t="n">
        <f aca="false">IF($A6&gt;=Assumptions!$B$15,MIN(Assumptions!$B$5,Assumptions!$B$5*($A6-Assumptions!$B$15+1)/Assumptions!$B$6),0)</f>
        <v>0</v>
      </c>
      <c r="W6" s="24" t="n">
        <f aca="false">IF($A6&gt;=Assumptions!$B$16,MIN(Assumptions!$B$5,Assumptions!$B$5*($A6-Assumptions!$B$16+1)/Assumptions!$B$6),0)</f>
        <v>0</v>
      </c>
      <c r="X6" s="24" t="n">
        <f aca="false">IF($A6&gt;=Assumptions!$B$17,MIN(Assumptions!$B$5,Assumptions!$B$5*($A6-Assumptions!$B$17+1)/Assumptions!$B$6),0)</f>
        <v>0</v>
      </c>
      <c r="Y6" s="24" t="n">
        <f aca="false">IF($A6&gt;=Assumptions!$B$14,Assumptions!$B$7*MIN(1,($A6-Assumptions!$B$14+1)/Assumptions!$B$8),0)</f>
        <v>10.4166666666667</v>
      </c>
      <c r="Z6" s="24" t="n">
        <f aca="false">IF($A6&gt;=Assumptions!$B$15,Assumptions!$B$7*MIN(1,($A6-Assumptions!$B$15+1)/Assumptions!$B$8),0)</f>
        <v>0</v>
      </c>
      <c r="AA6" s="24" t="n">
        <f aca="false">IF($A6&gt;=Assumptions!$B$16,Assumptions!$B$7*MIN(1,($A6-Assumptions!$B$16+1)/Assumptions!$B$8),0)</f>
        <v>0</v>
      </c>
      <c r="AB6" s="24" t="n">
        <f aca="false">IF($A6&gt;=Assumptions!$B$17,Assumptions!$B$7*MIN(1,($A6-Assumptions!$B$17+1)/Assumptions!$B$8),0)</f>
        <v>0</v>
      </c>
      <c r="AC6" s="24" t="n">
        <f aca="false">D6*Assumptions!$B$21</f>
        <v>11111.1111111111</v>
      </c>
      <c r="AD6" s="24" t="n">
        <f aca="false">D6*Assumptions!$B$22</f>
        <v>6944.44444444444</v>
      </c>
      <c r="AE6" s="24" t="n">
        <f aca="false">D6*Assumptions!$B$23</f>
        <v>4166.66666666667</v>
      </c>
      <c r="AF6" s="24" t="n">
        <f aca="false">D6*Assumptions!$B$24</f>
        <v>2777.77777777778</v>
      </c>
      <c r="AG6" s="24" t="n">
        <f aca="false">D6*Assumptions!$B$25</f>
        <v>8333.33333333333</v>
      </c>
      <c r="AH6" s="24" t="n">
        <f aca="false">IF(AND(R6&gt;=0,R5&lt;0),A6,0)</f>
        <v>0</v>
      </c>
      <c r="AI6" s="24" t="n">
        <f aca="false">IF(AND(S6&gt;=0,S5&lt;0),A6,0)</f>
        <v>0</v>
      </c>
    </row>
    <row r="7" customFormat="false" ht="15" hidden="false" customHeight="false" outlineLevel="0" collapsed="false">
      <c r="A7" s="18" t="n">
        <v>6</v>
      </c>
      <c r="B7" s="18" t="s">
        <v>112</v>
      </c>
      <c r="C7" s="19" t="n">
        <f aca="false">SUMPRODUCT(--(Assumptions!$B$14:$B$17&lt;=$A7))</f>
        <v>1</v>
      </c>
      <c r="D7" s="20" t="n">
        <f aca="false">SUM(U7:X7)</f>
        <v>1666.66666666667</v>
      </c>
      <c r="E7" s="20" t="n">
        <f aca="false">SUM(Y7:AB7)</f>
        <v>12.5</v>
      </c>
      <c r="F7" s="21" t="n">
        <f aca="false">E7*Assumptions!$B$9</f>
        <v>737.5</v>
      </c>
      <c r="G7" s="21" t="n">
        <f aca="false">D7*Assumptions!$B$29*Assumptions!$B$30*Assumptions!$B$31</f>
        <v>180</v>
      </c>
      <c r="H7" s="21" t="n">
        <f aca="false">D7*Assumptions!$B$32*Assumptions!$B$33</f>
        <v>174.5</v>
      </c>
      <c r="I7" s="21" t="n">
        <f aca="false">D7*Assumptions!$B$26*Assumptions!$B$34/1000*Assumptions!$B$11</f>
        <v>0</v>
      </c>
      <c r="J7" s="21" t="n">
        <f aca="false">SUM(F7:I7)</f>
        <v>1092</v>
      </c>
      <c r="K7" s="21" t="n">
        <f aca="false">MAX(0,(AC7+AD7+AE7+AF7+AG7)-Assumptions!$B$47)/1000*Assumptions!$B$43</f>
        <v>8</v>
      </c>
      <c r="L7" s="21" t="n">
        <f aca="false">MAX(0,AD7-Assumptions!$B$46)/1000*Assumptions!$B$39+MAX(0,AE7-Assumptions!$B$46)/1000*Assumptions!$B$40+MAX(0,(AC7+AF7+AG7)-Assumptions!$B$47)/1000*Assumptions!$B$43</f>
        <v>0</v>
      </c>
      <c r="M7" s="21" t="n">
        <f aca="false">MAX(0,AC7-Assumptions!$B$46)/1000*Assumptions!$B$38+MAX(0,AD7-Assumptions!$B$46)/1000*Assumptions!$B$39+MAX(0,AE7-Assumptions!$B$46)/1000*Assumptions!$B$40+MAX(0,AF7-Assumptions!$B$46)/1000*Assumptions!$B$41+MAX(0,AG7-Assumptions!$B$46)/1000*Assumptions!$B$42</f>
        <v>23.3333333333333</v>
      </c>
      <c r="N7" s="21" t="n">
        <f aca="false">CHOOSE(Assumptions!$B$10,K7,L7,M7)</f>
        <v>0</v>
      </c>
      <c r="O7" s="21" t="n">
        <f aca="false">IF(D7&gt;Assumptions!$B$52,Assumptions!$B$51,Assumptions!$B$50)</f>
        <v>0</v>
      </c>
      <c r="P7" s="21" t="n">
        <f aca="false">Assumptions!$B$53</f>
        <v>200</v>
      </c>
      <c r="Q7" s="21" t="n">
        <f aca="false">N7+O7+P7</f>
        <v>200</v>
      </c>
      <c r="R7" s="22" t="n">
        <f aca="false">J7-Q7</f>
        <v>892</v>
      </c>
      <c r="S7" s="23" t="n">
        <f aca="false">S6+R7</f>
        <v>2622</v>
      </c>
      <c r="U7" s="24" t="n">
        <f aca="false">IF($A7&gt;=Assumptions!$B$14,MIN(Assumptions!$B$5,Assumptions!$B$5*($A7-Assumptions!$B$14+1)/Assumptions!$B$6),0)</f>
        <v>1666.66666666667</v>
      </c>
      <c r="V7" s="24" t="n">
        <f aca="false">IF($A7&gt;=Assumptions!$B$15,MIN(Assumptions!$B$5,Assumptions!$B$5*($A7-Assumptions!$B$15+1)/Assumptions!$B$6),0)</f>
        <v>0</v>
      </c>
      <c r="W7" s="24" t="n">
        <f aca="false">IF($A7&gt;=Assumptions!$B$16,MIN(Assumptions!$B$5,Assumptions!$B$5*($A7-Assumptions!$B$16+1)/Assumptions!$B$6),0)</f>
        <v>0</v>
      </c>
      <c r="X7" s="24" t="n">
        <f aca="false">IF($A7&gt;=Assumptions!$B$17,MIN(Assumptions!$B$5,Assumptions!$B$5*($A7-Assumptions!$B$17+1)/Assumptions!$B$6),0)</f>
        <v>0</v>
      </c>
      <c r="Y7" s="24" t="n">
        <f aca="false">IF($A7&gt;=Assumptions!$B$14,Assumptions!$B$7*MIN(1,($A7-Assumptions!$B$14+1)/Assumptions!$B$8),0)</f>
        <v>12.5</v>
      </c>
      <c r="Z7" s="24" t="n">
        <f aca="false">IF($A7&gt;=Assumptions!$B$15,Assumptions!$B$7*MIN(1,($A7-Assumptions!$B$15+1)/Assumptions!$B$8),0)</f>
        <v>0</v>
      </c>
      <c r="AA7" s="24" t="n">
        <f aca="false">IF($A7&gt;=Assumptions!$B$16,Assumptions!$B$7*MIN(1,($A7-Assumptions!$B$16+1)/Assumptions!$B$8),0)</f>
        <v>0</v>
      </c>
      <c r="AB7" s="24" t="n">
        <f aca="false">IF($A7&gt;=Assumptions!$B$17,Assumptions!$B$7*MIN(1,($A7-Assumptions!$B$17+1)/Assumptions!$B$8),0)</f>
        <v>0</v>
      </c>
      <c r="AC7" s="24" t="n">
        <f aca="false">D7*Assumptions!$B$21</f>
        <v>13333.3333333333</v>
      </c>
      <c r="AD7" s="24" t="n">
        <f aca="false">D7*Assumptions!$B$22</f>
        <v>8333.33333333333</v>
      </c>
      <c r="AE7" s="24" t="n">
        <f aca="false">D7*Assumptions!$B$23</f>
        <v>5000</v>
      </c>
      <c r="AF7" s="24" t="n">
        <f aca="false">D7*Assumptions!$B$24</f>
        <v>3333.33333333333</v>
      </c>
      <c r="AG7" s="24" t="n">
        <f aca="false">D7*Assumptions!$B$25</f>
        <v>10000</v>
      </c>
      <c r="AH7" s="24" t="n">
        <f aca="false">IF(AND(R7&gt;=0,R6&lt;0),A7,0)</f>
        <v>0</v>
      </c>
      <c r="AI7" s="24" t="n">
        <f aca="false">IF(AND(S7&gt;=0,S6&lt;0),A7,0)</f>
        <v>0</v>
      </c>
    </row>
    <row r="8" customFormat="false" ht="15" hidden="false" customHeight="false" outlineLevel="0" collapsed="false">
      <c r="A8" s="18" t="n">
        <v>7</v>
      </c>
      <c r="B8" s="18" t="s">
        <v>113</v>
      </c>
      <c r="C8" s="19" t="n">
        <f aca="false">SUMPRODUCT(--(Assumptions!$B$14:$B$17&lt;=$A8))</f>
        <v>1</v>
      </c>
      <c r="D8" s="20" t="n">
        <f aca="false">SUM(U8:X8)</f>
        <v>1944.44444444444</v>
      </c>
      <c r="E8" s="20" t="n">
        <f aca="false">SUM(Y8:AB8)</f>
        <v>14.5833333333333</v>
      </c>
      <c r="F8" s="21" t="n">
        <f aca="false">E8*Assumptions!$B$9</f>
        <v>860.416666666667</v>
      </c>
      <c r="G8" s="21" t="n">
        <f aca="false">D8*Assumptions!$B$29*Assumptions!$B$30*Assumptions!$B$31</f>
        <v>210</v>
      </c>
      <c r="H8" s="21" t="n">
        <f aca="false">D8*Assumptions!$B$32*Assumptions!$B$33</f>
        <v>203.583333333333</v>
      </c>
      <c r="I8" s="21" t="n">
        <f aca="false">D8*Assumptions!$B$26*Assumptions!$B$34/1000*Assumptions!$B$11</f>
        <v>0</v>
      </c>
      <c r="J8" s="21" t="n">
        <f aca="false">SUM(F8:I8)</f>
        <v>1274</v>
      </c>
      <c r="K8" s="21" t="n">
        <f aca="false">MAX(0,(AC8+AD8+AE8+AF8+AG8)-Assumptions!$B$47)/1000*Assumptions!$B$43</f>
        <v>13.3333333333333</v>
      </c>
      <c r="L8" s="21" t="n">
        <f aca="false">MAX(0,AD8-Assumptions!$B$46)/1000*Assumptions!$B$39+MAX(0,AE8-Assumptions!$B$46)/1000*Assumptions!$B$40+MAX(0,(AC8+AF8+AG8)-Assumptions!$B$47)/1000*Assumptions!$B$43</f>
        <v>0.888888888888888</v>
      </c>
      <c r="M8" s="21" t="n">
        <f aca="false">MAX(0,AC8-Assumptions!$B$46)/1000*Assumptions!$B$38+MAX(0,AD8-Assumptions!$B$46)/1000*Assumptions!$B$39+MAX(0,AE8-Assumptions!$B$46)/1000*Assumptions!$B$40+MAX(0,AF8-Assumptions!$B$46)/1000*Assumptions!$B$41+MAX(0,AG8-Assumptions!$B$46)/1000*Assumptions!$B$42</f>
        <v>47.2222222222222</v>
      </c>
      <c r="N8" s="21" t="n">
        <f aca="false">CHOOSE(Assumptions!$B$10,K8,L8,M8)</f>
        <v>0.888888888888888</v>
      </c>
      <c r="O8" s="21" t="n">
        <f aca="false">IF(D8&gt;Assumptions!$B$52,Assumptions!$B$51,Assumptions!$B$50)</f>
        <v>0</v>
      </c>
      <c r="P8" s="21" t="n">
        <f aca="false">Assumptions!$B$53</f>
        <v>200</v>
      </c>
      <c r="Q8" s="21" t="n">
        <f aca="false">N8+O8+P8</f>
        <v>200.888888888889</v>
      </c>
      <c r="R8" s="22" t="n">
        <f aca="false">J8-Q8</f>
        <v>1073.11111111111</v>
      </c>
      <c r="S8" s="23" t="n">
        <f aca="false">S7+R8</f>
        <v>3695.11111111111</v>
      </c>
      <c r="U8" s="24" t="n">
        <f aca="false">IF($A8&gt;=Assumptions!$B$14,MIN(Assumptions!$B$5,Assumptions!$B$5*($A8-Assumptions!$B$14+1)/Assumptions!$B$6),0)</f>
        <v>1944.44444444444</v>
      </c>
      <c r="V8" s="24" t="n">
        <f aca="false">IF($A8&gt;=Assumptions!$B$15,MIN(Assumptions!$B$5,Assumptions!$B$5*($A8-Assumptions!$B$15+1)/Assumptions!$B$6),0)</f>
        <v>0</v>
      </c>
      <c r="W8" s="24" t="n">
        <f aca="false">IF($A8&gt;=Assumptions!$B$16,MIN(Assumptions!$B$5,Assumptions!$B$5*($A8-Assumptions!$B$16+1)/Assumptions!$B$6),0)</f>
        <v>0</v>
      </c>
      <c r="X8" s="24" t="n">
        <f aca="false">IF($A8&gt;=Assumptions!$B$17,MIN(Assumptions!$B$5,Assumptions!$B$5*($A8-Assumptions!$B$17+1)/Assumptions!$B$6),0)</f>
        <v>0</v>
      </c>
      <c r="Y8" s="24" t="n">
        <f aca="false">IF($A8&gt;=Assumptions!$B$14,Assumptions!$B$7*MIN(1,($A8-Assumptions!$B$14+1)/Assumptions!$B$8),0)</f>
        <v>14.5833333333333</v>
      </c>
      <c r="Z8" s="24" t="n">
        <f aca="false">IF($A8&gt;=Assumptions!$B$15,Assumptions!$B$7*MIN(1,($A8-Assumptions!$B$15+1)/Assumptions!$B$8),0)</f>
        <v>0</v>
      </c>
      <c r="AA8" s="24" t="n">
        <f aca="false">IF($A8&gt;=Assumptions!$B$16,Assumptions!$B$7*MIN(1,($A8-Assumptions!$B$16+1)/Assumptions!$B$8),0)</f>
        <v>0</v>
      </c>
      <c r="AB8" s="24" t="n">
        <f aca="false">IF($A8&gt;=Assumptions!$B$17,Assumptions!$B$7*MIN(1,($A8-Assumptions!$B$17+1)/Assumptions!$B$8),0)</f>
        <v>0</v>
      </c>
      <c r="AC8" s="24" t="n">
        <f aca="false">D8*Assumptions!$B$21</f>
        <v>15555.5555555556</v>
      </c>
      <c r="AD8" s="24" t="n">
        <f aca="false">D8*Assumptions!$B$22</f>
        <v>9722.22222222222</v>
      </c>
      <c r="AE8" s="24" t="n">
        <f aca="false">D8*Assumptions!$B$23</f>
        <v>5833.33333333333</v>
      </c>
      <c r="AF8" s="24" t="n">
        <f aca="false">D8*Assumptions!$B$24</f>
        <v>3888.88888888889</v>
      </c>
      <c r="AG8" s="24" t="n">
        <f aca="false">D8*Assumptions!$B$25</f>
        <v>11666.6666666667</v>
      </c>
      <c r="AH8" s="24" t="n">
        <f aca="false">IF(AND(R8&gt;=0,R7&lt;0),A8,0)</f>
        <v>0</v>
      </c>
      <c r="AI8" s="24" t="n">
        <f aca="false">IF(AND(S8&gt;=0,S7&lt;0),A8,0)</f>
        <v>0</v>
      </c>
    </row>
    <row r="9" customFormat="false" ht="15" hidden="false" customHeight="false" outlineLevel="0" collapsed="false">
      <c r="A9" s="18" t="n">
        <v>8</v>
      </c>
      <c r="B9" s="18" t="s">
        <v>114</v>
      </c>
      <c r="C9" s="19" t="n">
        <f aca="false">SUMPRODUCT(--(Assumptions!$B$14:$B$17&lt;=$A9))</f>
        <v>1</v>
      </c>
      <c r="D9" s="20" t="n">
        <f aca="false">SUM(U9:X9)</f>
        <v>2222.22222222222</v>
      </c>
      <c r="E9" s="20" t="n">
        <f aca="false">SUM(Y9:AB9)</f>
        <v>16.6666666666667</v>
      </c>
      <c r="F9" s="21" t="n">
        <f aca="false">E9*Assumptions!$B$9</f>
        <v>983.333333333333</v>
      </c>
      <c r="G9" s="21" t="n">
        <f aca="false">D9*Assumptions!$B$29*Assumptions!$B$30*Assumptions!$B$31</f>
        <v>240</v>
      </c>
      <c r="H9" s="21" t="n">
        <f aca="false">D9*Assumptions!$B$32*Assumptions!$B$33</f>
        <v>232.666666666667</v>
      </c>
      <c r="I9" s="21" t="n">
        <f aca="false">D9*Assumptions!$B$26*Assumptions!$B$34/1000*Assumptions!$B$11</f>
        <v>0</v>
      </c>
      <c r="J9" s="21" t="n">
        <f aca="false">SUM(F9:I9)</f>
        <v>1456</v>
      </c>
      <c r="K9" s="21" t="n">
        <f aca="false">MAX(0,(AC9+AD9+AE9+AF9+AG9)-Assumptions!$B$47)/1000*Assumptions!$B$43</f>
        <v>18.6666666666667</v>
      </c>
      <c r="L9" s="21" t="n">
        <f aca="false">MAX(0,AD9-Assumptions!$B$46)/1000*Assumptions!$B$39+MAX(0,AE9-Assumptions!$B$46)/1000*Assumptions!$B$40+MAX(0,(AC9+AF9+AG9)-Assumptions!$B$47)/1000*Assumptions!$B$43</f>
        <v>23.3333333333333</v>
      </c>
      <c r="M9" s="21" t="n">
        <f aca="false">MAX(0,AC9-Assumptions!$B$46)/1000*Assumptions!$B$38+MAX(0,AD9-Assumptions!$B$46)/1000*Assumptions!$B$39+MAX(0,AE9-Assumptions!$B$46)/1000*Assumptions!$B$40+MAX(0,AF9-Assumptions!$B$46)/1000*Assumptions!$B$41+MAX(0,AG9-Assumptions!$B$46)/1000*Assumptions!$B$42</f>
        <v>90</v>
      </c>
      <c r="N9" s="21" t="n">
        <f aca="false">CHOOSE(Assumptions!$B$10,K9,L9,M9)</f>
        <v>23.3333333333333</v>
      </c>
      <c r="O9" s="21" t="n">
        <f aca="false">IF(D9&gt;Assumptions!$B$52,Assumptions!$B$51,Assumptions!$B$50)</f>
        <v>0</v>
      </c>
      <c r="P9" s="21" t="n">
        <f aca="false">Assumptions!$B$53</f>
        <v>200</v>
      </c>
      <c r="Q9" s="21" t="n">
        <f aca="false">N9+O9+P9</f>
        <v>223.333333333333</v>
      </c>
      <c r="R9" s="22" t="n">
        <f aca="false">J9-Q9</f>
        <v>1232.66666666667</v>
      </c>
      <c r="S9" s="23" t="n">
        <f aca="false">S8+R9</f>
        <v>4927.77777777778</v>
      </c>
      <c r="U9" s="24" t="n">
        <f aca="false">IF($A9&gt;=Assumptions!$B$14,MIN(Assumptions!$B$5,Assumptions!$B$5*($A9-Assumptions!$B$14+1)/Assumptions!$B$6),0)</f>
        <v>2222.22222222222</v>
      </c>
      <c r="V9" s="24" t="n">
        <f aca="false">IF($A9&gt;=Assumptions!$B$15,MIN(Assumptions!$B$5,Assumptions!$B$5*($A9-Assumptions!$B$15+1)/Assumptions!$B$6),0)</f>
        <v>0</v>
      </c>
      <c r="W9" s="24" t="n">
        <f aca="false">IF($A9&gt;=Assumptions!$B$16,MIN(Assumptions!$B$5,Assumptions!$B$5*($A9-Assumptions!$B$16+1)/Assumptions!$B$6),0)</f>
        <v>0</v>
      </c>
      <c r="X9" s="24" t="n">
        <f aca="false">IF($A9&gt;=Assumptions!$B$17,MIN(Assumptions!$B$5,Assumptions!$B$5*($A9-Assumptions!$B$17+1)/Assumptions!$B$6),0)</f>
        <v>0</v>
      </c>
      <c r="Y9" s="24" t="n">
        <f aca="false">IF($A9&gt;=Assumptions!$B$14,Assumptions!$B$7*MIN(1,($A9-Assumptions!$B$14+1)/Assumptions!$B$8),0)</f>
        <v>16.6666666666667</v>
      </c>
      <c r="Z9" s="24" t="n">
        <f aca="false">IF($A9&gt;=Assumptions!$B$15,Assumptions!$B$7*MIN(1,($A9-Assumptions!$B$15+1)/Assumptions!$B$8),0)</f>
        <v>0</v>
      </c>
      <c r="AA9" s="24" t="n">
        <f aca="false">IF($A9&gt;=Assumptions!$B$16,Assumptions!$B$7*MIN(1,($A9-Assumptions!$B$16+1)/Assumptions!$B$8),0)</f>
        <v>0</v>
      </c>
      <c r="AB9" s="24" t="n">
        <f aca="false">IF($A9&gt;=Assumptions!$B$17,Assumptions!$B$7*MIN(1,($A9-Assumptions!$B$17+1)/Assumptions!$B$8),0)</f>
        <v>0</v>
      </c>
      <c r="AC9" s="24" t="n">
        <f aca="false">D9*Assumptions!$B$21</f>
        <v>17777.7777777778</v>
      </c>
      <c r="AD9" s="24" t="n">
        <f aca="false">D9*Assumptions!$B$22</f>
        <v>11111.1111111111</v>
      </c>
      <c r="AE9" s="24" t="n">
        <f aca="false">D9*Assumptions!$B$23</f>
        <v>6666.66666666667</v>
      </c>
      <c r="AF9" s="24" t="n">
        <f aca="false">D9*Assumptions!$B$24</f>
        <v>4444.44444444444</v>
      </c>
      <c r="AG9" s="24" t="n">
        <f aca="false">D9*Assumptions!$B$25</f>
        <v>13333.3333333333</v>
      </c>
      <c r="AH9" s="24" t="n">
        <f aca="false">IF(AND(R9&gt;=0,R8&lt;0),A9,0)</f>
        <v>0</v>
      </c>
      <c r="AI9" s="24" t="n">
        <f aca="false">IF(AND(S9&gt;=0,S8&lt;0),A9,0)</f>
        <v>0</v>
      </c>
    </row>
    <row r="10" customFormat="false" ht="15" hidden="false" customHeight="false" outlineLevel="0" collapsed="false">
      <c r="A10" s="18" t="n">
        <v>9</v>
      </c>
      <c r="B10" s="18" t="s">
        <v>115</v>
      </c>
      <c r="C10" s="19" t="n">
        <f aca="false">SUMPRODUCT(--(Assumptions!$B$14:$B$17&lt;=$A10))</f>
        <v>2</v>
      </c>
      <c r="D10" s="20" t="n">
        <f aca="false">SUM(U10:X10)</f>
        <v>2777.77777777778</v>
      </c>
      <c r="E10" s="20" t="n">
        <f aca="false">SUM(Y10:AB10)</f>
        <v>20.8333333333333</v>
      </c>
      <c r="F10" s="21" t="n">
        <f aca="false">E10*Assumptions!$B$9</f>
        <v>1229.16666666667</v>
      </c>
      <c r="G10" s="21" t="n">
        <f aca="false">D10*Assumptions!$B$29*Assumptions!$B$30*Assumptions!$B$31</f>
        <v>300</v>
      </c>
      <c r="H10" s="21" t="n">
        <f aca="false">D10*Assumptions!$B$32*Assumptions!$B$33</f>
        <v>290.833333333333</v>
      </c>
      <c r="I10" s="21" t="n">
        <f aca="false">D10*Assumptions!$B$26*Assumptions!$B$34/1000*Assumptions!$B$11</f>
        <v>0</v>
      </c>
      <c r="J10" s="21" t="n">
        <f aca="false">SUM(F10:I10)</f>
        <v>1820</v>
      </c>
      <c r="K10" s="21" t="n">
        <f aca="false">MAX(0,(AC10+AD10+AE10+AF10+AG10)-Assumptions!$B$47)/1000*Assumptions!$B$43</f>
        <v>29.3333333333333</v>
      </c>
      <c r="L10" s="21" t="n">
        <f aca="false">MAX(0,AD10-Assumptions!$B$46)/1000*Assumptions!$B$39+MAX(0,AE10-Assumptions!$B$46)/1000*Assumptions!$B$40+MAX(0,(AC10+AF10+AG10)-Assumptions!$B$47)/1000*Assumptions!$B$43</f>
        <v>77.6666666666667</v>
      </c>
      <c r="M10" s="21" t="n">
        <f aca="false">MAX(0,AC10-Assumptions!$B$46)/1000*Assumptions!$B$38+MAX(0,AD10-Assumptions!$B$46)/1000*Assumptions!$B$39+MAX(0,AE10-Assumptions!$B$46)/1000*Assumptions!$B$40+MAX(0,AF10-Assumptions!$B$46)/1000*Assumptions!$B$41+MAX(0,AG10-Assumptions!$B$46)/1000*Assumptions!$B$42</f>
        <v>185</v>
      </c>
      <c r="N10" s="21" t="n">
        <f aca="false">CHOOSE(Assumptions!$B$10,K10,L10,M10)</f>
        <v>77.6666666666667</v>
      </c>
      <c r="O10" s="21" t="n">
        <f aca="false">IF(D10&gt;Assumptions!$B$52,Assumptions!$B$51,Assumptions!$B$50)</f>
        <v>0</v>
      </c>
      <c r="P10" s="21" t="n">
        <f aca="false">Assumptions!$B$53</f>
        <v>200</v>
      </c>
      <c r="Q10" s="21" t="n">
        <f aca="false">N10+O10+P10</f>
        <v>277.666666666667</v>
      </c>
      <c r="R10" s="22" t="n">
        <f aca="false">J10-Q10</f>
        <v>1542.33333333333</v>
      </c>
      <c r="S10" s="23" t="n">
        <f aca="false">S9+R10</f>
        <v>6470.11111111111</v>
      </c>
      <c r="U10" s="24" t="n">
        <f aca="false">IF($A10&gt;=Assumptions!$B$14,MIN(Assumptions!$B$5,Assumptions!$B$5*($A10-Assumptions!$B$14+1)/Assumptions!$B$6),0)</f>
        <v>2500</v>
      </c>
      <c r="V10" s="24" t="n">
        <f aca="false">IF($A10&gt;=Assumptions!$B$15,MIN(Assumptions!$B$5,Assumptions!$B$5*($A10-Assumptions!$B$15+1)/Assumptions!$B$6),0)</f>
        <v>277.777777777778</v>
      </c>
      <c r="W10" s="24" t="n">
        <f aca="false">IF($A10&gt;=Assumptions!$B$16,MIN(Assumptions!$B$5,Assumptions!$B$5*($A10-Assumptions!$B$16+1)/Assumptions!$B$6),0)</f>
        <v>0</v>
      </c>
      <c r="X10" s="24" t="n">
        <f aca="false">IF($A10&gt;=Assumptions!$B$17,MIN(Assumptions!$B$5,Assumptions!$B$5*($A10-Assumptions!$B$17+1)/Assumptions!$B$6),0)</f>
        <v>0</v>
      </c>
      <c r="Y10" s="24" t="n">
        <f aca="false">IF($A10&gt;=Assumptions!$B$14,Assumptions!$B$7*MIN(1,($A10-Assumptions!$B$14+1)/Assumptions!$B$8),0)</f>
        <v>18.75</v>
      </c>
      <c r="Z10" s="24" t="n">
        <f aca="false">IF($A10&gt;=Assumptions!$B$15,Assumptions!$B$7*MIN(1,($A10-Assumptions!$B$15+1)/Assumptions!$B$8),0)</f>
        <v>2.08333333333333</v>
      </c>
      <c r="AA10" s="24" t="n">
        <f aca="false">IF($A10&gt;=Assumptions!$B$16,Assumptions!$B$7*MIN(1,($A10-Assumptions!$B$16+1)/Assumptions!$B$8),0)</f>
        <v>0</v>
      </c>
      <c r="AB10" s="24" t="n">
        <f aca="false">IF($A10&gt;=Assumptions!$B$17,Assumptions!$B$7*MIN(1,($A10-Assumptions!$B$17+1)/Assumptions!$B$8),0)</f>
        <v>0</v>
      </c>
      <c r="AC10" s="24" t="n">
        <f aca="false">D10*Assumptions!$B$21</f>
        <v>22222.2222222222</v>
      </c>
      <c r="AD10" s="24" t="n">
        <f aca="false">D10*Assumptions!$B$22</f>
        <v>13888.8888888889</v>
      </c>
      <c r="AE10" s="24" t="n">
        <f aca="false">D10*Assumptions!$B$23</f>
        <v>8333.33333333333</v>
      </c>
      <c r="AF10" s="24" t="n">
        <f aca="false">D10*Assumptions!$B$24</f>
        <v>5555.55555555556</v>
      </c>
      <c r="AG10" s="24" t="n">
        <f aca="false">D10*Assumptions!$B$25</f>
        <v>16666.6666666667</v>
      </c>
      <c r="AH10" s="24" t="n">
        <f aca="false">IF(AND(R10&gt;=0,R9&lt;0),A10,0)</f>
        <v>0</v>
      </c>
      <c r="AI10" s="24" t="n">
        <f aca="false">IF(AND(S10&gt;=0,S9&lt;0),A10,0)</f>
        <v>0</v>
      </c>
    </row>
    <row r="11" customFormat="false" ht="15" hidden="false" customHeight="false" outlineLevel="0" collapsed="false">
      <c r="A11" s="18" t="n">
        <v>10</v>
      </c>
      <c r="B11" s="18" t="s">
        <v>116</v>
      </c>
      <c r="C11" s="19" t="n">
        <f aca="false">SUMPRODUCT(--(Assumptions!$B$14:$B$17&lt;=$A11))</f>
        <v>2</v>
      </c>
      <c r="D11" s="20" t="n">
        <f aca="false">SUM(U11:X11)</f>
        <v>3333.33333333333</v>
      </c>
      <c r="E11" s="20" t="n">
        <f aca="false">SUM(Y11:AB11)</f>
        <v>25</v>
      </c>
      <c r="F11" s="21" t="n">
        <f aca="false">E11*Assumptions!$B$9</f>
        <v>1475</v>
      </c>
      <c r="G11" s="21" t="n">
        <f aca="false">D11*Assumptions!$B$29*Assumptions!$B$30*Assumptions!$B$31</f>
        <v>360</v>
      </c>
      <c r="H11" s="21" t="n">
        <f aca="false">D11*Assumptions!$B$32*Assumptions!$B$33</f>
        <v>349</v>
      </c>
      <c r="I11" s="21" t="n">
        <f aca="false">D11*Assumptions!$B$26*Assumptions!$B$34/1000*Assumptions!$B$11</f>
        <v>0</v>
      </c>
      <c r="J11" s="21" t="n">
        <f aca="false">SUM(F11:I11)</f>
        <v>2184</v>
      </c>
      <c r="K11" s="21" t="n">
        <f aca="false">MAX(0,(AC11+AD11+AE11+AF11+AG11)-Assumptions!$B$47)/1000*Assumptions!$B$43</f>
        <v>40</v>
      </c>
      <c r="L11" s="21" t="n">
        <f aca="false">MAX(0,AD11-Assumptions!$B$46)/1000*Assumptions!$B$39+MAX(0,AE11-Assumptions!$B$46)/1000*Assumptions!$B$40+MAX(0,(AC11+AF11+AG11)-Assumptions!$B$47)/1000*Assumptions!$B$43</f>
        <v>132</v>
      </c>
      <c r="M11" s="21" t="n">
        <f aca="false">MAX(0,AC11-Assumptions!$B$46)/1000*Assumptions!$B$38+MAX(0,AD11-Assumptions!$B$46)/1000*Assumptions!$B$39+MAX(0,AE11-Assumptions!$B$46)/1000*Assumptions!$B$40+MAX(0,AF11-Assumptions!$B$46)/1000*Assumptions!$B$41+MAX(0,AG11-Assumptions!$B$46)/1000*Assumptions!$B$42</f>
        <v>280</v>
      </c>
      <c r="N11" s="21" t="n">
        <f aca="false">CHOOSE(Assumptions!$B$10,K11,L11,M11)</f>
        <v>132</v>
      </c>
      <c r="O11" s="21" t="n">
        <f aca="false">IF(D11&gt;Assumptions!$B$52,Assumptions!$B$51,Assumptions!$B$50)</f>
        <v>0</v>
      </c>
      <c r="P11" s="21" t="n">
        <f aca="false">Assumptions!$B$53</f>
        <v>200</v>
      </c>
      <c r="Q11" s="21" t="n">
        <f aca="false">N11+O11+P11</f>
        <v>332</v>
      </c>
      <c r="R11" s="22" t="n">
        <f aca="false">J11-Q11</f>
        <v>1852</v>
      </c>
      <c r="S11" s="23" t="n">
        <f aca="false">S10+R11</f>
        <v>8322.11111111111</v>
      </c>
      <c r="U11" s="24" t="n">
        <f aca="false">IF($A11&gt;=Assumptions!$B$14,MIN(Assumptions!$B$5,Assumptions!$B$5*($A11-Assumptions!$B$14+1)/Assumptions!$B$6),0)</f>
        <v>2777.77777777778</v>
      </c>
      <c r="V11" s="24" t="n">
        <f aca="false">IF($A11&gt;=Assumptions!$B$15,MIN(Assumptions!$B$5,Assumptions!$B$5*($A11-Assumptions!$B$15+1)/Assumptions!$B$6),0)</f>
        <v>555.555555555556</v>
      </c>
      <c r="W11" s="24" t="n">
        <f aca="false">IF($A11&gt;=Assumptions!$B$16,MIN(Assumptions!$B$5,Assumptions!$B$5*($A11-Assumptions!$B$16+1)/Assumptions!$B$6),0)</f>
        <v>0</v>
      </c>
      <c r="X11" s="24" t="n">
        <f aca="false">IF($A11&gt;=Assumptions!$B$17,MIN(Assumptions!$B$5,Assumptions!$B$5*($A11-Assumptions!$B$17+1)/Assumptions!$B$6),0)</f>
        <v>0</v>
      </c>
      <c r="Y11" s="24" t="n">
        <f aca="false">IF($A11&gt;=Assumptions!$B$14,Assumptions!$B$7*MIN(1,($A11-Assumptions!$B$14+1)/Assumptions!$B$8),0)</f>
        <v>20.8333333333333</v>
      </c>
      <c r="Z11" s="24" t="n">
        <f aca="false">IF($A11&gt;=Assumptions!$B$15,Assumptions!$B$7*MIN(1,($A11-Assumptions!$B$15+1)/Assumptions!$B$8),0)</f>
        <v>4.16666666666667</v>
      </c>
      <c r="AA11" s="24" t="n">
        <f aca="false">IF($A11&gt;=Assumptions!$B$16,Assumptions!$B$7*MIN(1,($A11-Assumptions!$B$16+1)/Assumptions!$B$8),0)</f>
        <v>0</v>
      </c>
      <c r="AB11" s="24" t="n">
        <f aca="false">IF($A11&gt;=Assumptions!$B$17,Assumptions!$B$7*MIN(1,($A11-Assumptions!$B$17+1)/Assumptions!$B$8),0)</f>
        <v>0</v>
      </c>
      <c r="AC11" s="24" t="n">
        <f aca="false">D11*Assumptions!$B$21</f>
        <v>26666.6666666667</v>
      </c>
      <c r="AD11" s="24" t="n">
        <f aca="false">D11*Assumptions!$B$22</f>
        <v>16666.6666666667</v>
      </c>
      <c r="AE11" s="24" t="n">
        <f aca="false">D11*Assumptions!$B$23</f>
        <v>10000</v>
      </c>
      <c r="AF11" s="24" t="n">
        <f aca="false">D11*Assumptions!$B$24</f>
        <v>6666.66666666667</v>
      </c>
      <c r="AG11" s="24" t="n">
        <f aca="false">D11*Assumptions!$B$25</f>
        <v>20000</v>
      </c>
      <c r="AH11" s="24" t="n">
        <f aca="false">IF(AND(R11&gt;=0,R10&lt;0),A11,0)</f>
        <v>0</v>
      </c>
      <c r="AI11" s="24" t="n">
        <f aca="false">IF(AND(S11&gt;=0,S10&lt;0),A11,0)</f>
        <v>0</v>
      </c>
    </row>
    <row r="12" customFormat="false" ht="15" hidden="false" customHeight="false" outlineLevel="0" collapsed="false">
      <c r="A12" s="18" t="n">
        <v>11</v>
      </c>
      <c r="B12" s="18" t="s">
        <v>117</v>
      </c>
      <c r="C12" s="19" t="n">
        <f aca="false">SUMPRODUCT(--(Assumptions!$B$14:$B$17&lt;=$A12))</f>
        <v>2</v>
      </c>
      <c r="D12" s="20" t="n">
        <f aca="false">SUM(U12:X12)</f>
        <v>3888.88888888889</v>
      </c>
      <c r="E12" s="20" t="n">
        <f aca="false">SUM(Y12:AB12)</f>
        <v>29.1666666666667</v>
      </c>
      <c r="F12" s="21" t="n">
        <f aca="false">E12*Assumptions!$B$9</f>
        <v>1720.83333333333</v>
      </c>
      <c r="G12" s="21" t="n">
        <f aca="false">D12*Assumptions!$B$29*Assumptions!$B$30*Assumptions!$B$31</f>
        <v>420</v>
      </c>
      <c r="H12" s="21" t="n">
        <f aca="false">D12*Assumptions!$B$32*Assumptions!$B$33</f>
        <v>407.166666666667</v>
      </c>
      <c r="I12" s="21" t="n">
        <f aca="false">D12*Assumptions!$B$26*Assumptions!$B$34/1000*Assumptions!$B$11</f>
        <v>0</v>
      </c>
      <c r="J12" s="21" t="n">
        <f aca="false">SUM(F12:I12)</f>
        <v>2548</v>
      </c>
      <c r="K12" s="21" t="n">
        <f aca="false">MAX(0,(AC12+AD12+AE12+AF12+AG12)-Assumptions!$B$47)/1000*Assumptions!$B$43</f>
        <v>50.6666666666667</v>
      </c>
      <c r="L12" s="21" t="n">
        <f aca="false">MAX(0,AD12-Assumptions!$B$46)/1000*Assumptions!$B$39+MAX(0,AE12-Assumptions!$B$46)/1000*Assumptions!$B$40+MAX(0,(AC12+AF12+AG12)-Assumptions!$B$47)/1000*Assumptions!$B$43</f>
        <v>214.666666666667</v>
      </c>
      <c r="M12" s="21" t="n">
        <f aca="false">MAX(0,AC12-Assumptions!$B$46)/1000*Assumptions!$B$38+MAX(0,AD12-Assumptions!$B$46)/1000*Assumptions!$B$39+MAX(0,AE12-Assumptions!$B$46)/1000*Assumptions!$B$40+MAX(0,AF12-Assumptions!$B$46)/1000*Assumptions!$B$41+MAX(0,AG12-Assumptions!$B$46)/1000*Assumptions!$B$42</f>
        <v>403.333333333333</v>
      </c>
      <c r="N12" s="21" t="n">
        <f aca="false">CHOOSE(Assumptions!$B$10,K12,L12,M12)</f>
        <v>214.666666666667</v>
      </c>
      <c r="O12" s="21" t="n">
        <f aca="false">IF(D12&gt;Assumptions!$B$52,Assumptions!$B$51,Assumptions!$B$50)</f>
        <v>0</v>
      </c>
      <c r="P12" s="21" t="n">
        <f aca="false">Assumptions!$B$53</f>
        <v>200</v>
      </c>
      <c r="Q12" s="21" t="n">
        <f aca="false">N12+O12+P12</f>
        <v>414.666666666667</v>
      </c>
      <c r="R12" s="22" t="n">
        <f aca="false">J12-Q12</f>
        <v>2133.33333333333</v>
      </c>
      <c r="S12" s="23" t="n">
        <f aca="false">S11+R12</f>
        <v>10455.4444444444</v>
      </c>
      <c r="U12" s="24" t="n">
        <f aca="false">IF($A12&gt;=Assumptions!$B$14,MIN(Assumptions!$B$5,Assumptions!$B$5*($A12-Assumptions!$B$14+1)/Assumptions!$B$6),0)</f>
        <v>3055.55555555556</v>
      </c>
      <c r="V12" s="24" t="n">
        <f aca="false">IF($A12&gt;=Assumptions!$B$15,MIN(Assumptions!$B$5,Assumptions!$B$5*($A12-Assumptions!$B$15+1)/Assumptions!$B$6),0)</f>
        <v>833.333333333333</v>
      </c>
      <c r="W12" s="24" t="n">
        <f aca="false">IF($A12&gt;=Assumptions!$B$16,MIN(Assumptions!$B$5,Assumptions!$B$5*($A12-Assumptions!$B$16+1)/Assumptions!$B$6),0)</f>
        <v>0</v>
      </c>
      <c r="X12" s="24" t="n">
        <f aca="false">IF($A12&gt;=Assumptions!$B$17,MIN(Assumptions!$B$5,Assumptions!$B$5*($A12-Assumptions!$B$17+1)/Assumptions!$B$6),0)</f>
        <v>0</v>
      </c>
      <c r="Y12" s="24" t="n">
        <f aca="false">IF($A12&gt;=Assumptions!$B$14,Assumptions!$B$7*MIN(1,($A12-Assumptions!$B$14+1)/Assumptions!$B$8),0)</f>
        <v>22.9166666666667</v>
      </c>
      <c r="Z12" s="24" t="n">
        <f aca="false">IF($A12&gt;=Assumptions!$B$15,Assumptions!$B$7*MIN(1,($A12-Assumptions!$B$15+1)/Assumptions!$B$8),0)</f>
        <v>6.25</v>
      </c>
      <c r="AA12" s="24" t="n">
        <f aca="false">IF($A12&gt;=Assumptions!$B$16,Assumptions!$B$7*MIN(1,($A12-Assumptions!$B$16+1)/Assumptions!$B$8),0)</f>
        <v>0</v>
      </c>
      <c r="AB12" s="24" t="n">
        <f aca="false">IF($A12&gt;=Assumptions!$B$17,Assumptions!$B$7*MIN(1,($A12-Assumptions!$B$17+1)/Assumptions!$B$8),0)</f>
        <v>0</v>
      </c>
      <c r="AC12" s="24" t="n">
        <f aca="false">D12*Assumptions!$B$21</f>
        <v>31111.1111111111</v>
      </c>
      <c r="AD12" s="24" t="n">
        <f aca="false">D12*Assumptions!$B$22</f>
        <v>19444.4444444444</v>
      </c>
      <c r="AE12" s="24" t="n">
        <f aca="false">D12*Assumptions!$B$23</f>
        <v>11666.6666666667</v>
      </c>
      <c r="AF12" s="24" t="n">
        <f aca="false">D12*Assumptions!$B$24</f>
        <v>7777.77777777778</v>
      </c>
      <c r="AG12" s="24" t="n">
        <f aca="false">D12*Assumptions!$B$25</f>
        <v>23333.3333333333</v>
      </c>
      <c r="AH12" s="24" t="n">
        <f aca="false">IF(AND(R12&gt;=0,R11&lt;0),A12,0)</f>
        <v>0</v>
      </c>
      <c r="AI12" s="24" t="n">
        <f aca="false">IF(AND(S12&gt;=0,S11&lt;0),A12,0)</f>
        <v>0</v>
      </c>
    </row>
    <row r="13" customFormat="false" ht="15" hidden="false" customHeight="false" outlineLevel="0" collapsed="false">
      <c r="A13" s="18" t="n">
        <v>12</v>
      </c>
      <c r="B13" s="18" t="s">
        <v>118</v>
      </c>
      <c r="C13" s="19" t="n">
        <f aca="false">SUMPRODUCT(--(Assumptions!$B$14:$B$17&lt;=$A13))</f>
        <v>2</v>
      </c>
      <c r="D13" s="20" t="n">
        <f aca="false">SUM(U13:X13)</f>
        <v>4444.44444444444</v>
      </c>
      <c r="E13" s="20" t="n">
        <f aca="false">SUM(Y13:AB13)</f>
        <v>33.3333333333333</v>
      </c>
      <c r="F13" s="21" t="n">
        <f aca="false">E13*Assumptions!$B$9</f>
        <v>1966.66666666667</v>
      </c>
      <c r="G13" s="21" t="n">
        <f aca="false">D13*Assumptions!$B$29*Assumptions!$B$30*Assumptions!$B$31</f>
        <v>480</v>
      </c>
      <c r="H13" s="21" t="n">
        <f aca="false">D13*Assumptions!$B$32*Assumptions!$B$33</f>
        <v>465.333333333333</v>
      </c>
      <c r="I13" s="21" t="n">
        <f aca="false">D13*Assumptions!$B$26*Assumptions!$B$34/1000*Assumptions!$B$11</f>
        <v>0</v>
      </c>
      <c r="J13" s="21" t="n">
        <f aca="false">SUM(F13:I13)</f>
        <v>2912</v>
      </c>
      <c r="K13" s="21" t="n">
        <f aca="false">MAX(0,(AC13+AD13+AE13+AF13+AG13)-Assumptions!$B$47)/1000*Assumptions!$B$43</f>
        <v>61.3333333333333</v>
      </c>
      <c r="L13" s="21" t="n">
        <f aca="false">MAX(0,AD13-Assumptions!$B$46)/1000*Assumptions!$B$39+MAX(0,AE13-Assumptions!$B$46)/1000*Assumptions!$B$40+MAX(0,(AC13+AF13+AG13)-Assumptions!$B$47)/1000*Assumptions!$B$43</f>
        <v>297.333333333333</v>
      </c>
      <c r="M13" s="21" t="n">
        <f aca="false">MAX(0,AC13-Assumptions!$B$46)/1000*Assumptions!$B$38+MAX(0,AD13-Assumptions!$B$46)/1000*Assumptions!$B$39+MAX(0,AE13-Assumptions!$B$46)/1000*Assumptions!$B$40+MAX(0,AF13-Assumptions!$B$46)/1000*Assumptions!$B$41+MAX(0,AG13-Assumptions!$B$46)/1000*Assumptions!$B$42</f>
        <v>526.666666666667</v>
      </c>
      <c r="N13" s="21" t="n">
        <f aca="false">CHOOSE(Assumptions!$B$10,K13,L13,M13)</f>
        <v>297.333333333333</v>
      </c>
      <c r="O13" s="21" t="n">
        <f aca="false">IF(D13&gt;Assumptions!$B$52,Assumptions!$B$51,Assumptions!$B$50)</f>
        <v>0</v>
      </c>
      <c r="P13" s="21" t="n">
        <f aca="false">Assumptions!$B$53</f>
        <v>200</v>
      </c>
      <c r="Q13" s="21" t="n">
        <f aca="false">N13+O13+P13</f>
        <v>497.333333333333</v>
      </c>
      <c r="R13" s="22" t="n">
        <f aca="false">J13-Q13</f>
        <v>2414.66666666667</v>
      </c>
      <c r="S13" s="23" t="n">
        <f aca="false">S12+R13</f>
        <v>12870.1111111111</v>
      </c>
      <c r="U13" s="24" t="n">
        <f aca="false">IF($A13&gt;=Assumptions!$B$14,MIN(Assumptions!$B$5,Assumptions!$B$5*($A13-Assumptions!$B$14+1)/Assumptions!$B$6),0)</f>
        <v>3333.33333333333</v>
      </c>
      <c r="V13" s="24" t="n">
        <f aca="false">IF($A13&gt;=Assumptions!$B$15,MIN(Assumptions!$B$5,Assumptions!$B$5*($A13-Assumptions!$B$15+1)/Assumptions!$B$6),0)</f>
        <v>1111.11111111111</v>
      </c>
      <c r="W13" s="24" t="n">
        <f aca="false">IF($A13&gt;=Assumptions!$B$16,MIN(Assumptions!$B$5,Assumptions!$B$5*($A13-Assumptions!$B$16+1)/Assumptions!$B$6),0)</f>
        <v>0</v>
      </c>
      <c r="X13" s="24" t="n">
        <f aca="false">IF($A13&gt;=Assumptions!$B$17,MIN(Assumptions!$B$5,Assumptions!$B$5*($A13-Assumptions!$B$17+1)/Assumptions!$B$6),0)</f>
        <v>0</v>
      </c>
      <c r="Y13" s="24" t="n">
        <f aca="false">IF($A13&gt;=Assumptions!$B$14,Assumptions!$B$7*MIN(1,($A13-Assumptions!$B$14+1)/Assumptions!$B$8),0)</f>
        <v>25</v>
      </c>
      <c r="Z13" s="24" t="n">
        <f aca="false">IF($A13&gt;=Assumptions!$B$15,Assumptions!$B$7*MIN(1,($A13-Assumptions!$B$15+1)/Assumptions!$B$8),0)</f>
        <v>8.33333333333333</v>
      </c>
      <c r="AA13" s="24" t="n">
        <f aca="false">IF($A13&gt;=Assumptions!$B$16,Assumptions!$B$7*MIN(1,($A13-Assumptions!$B$16+1)/Assumptions!$B$8),0)</f>
        <v>0</v>
      </c>
      <c r="AB13" s="24" t="n">
        <f aca="false">IF($A13&gt;=Assumptions!$B$17,Assumptions!$B$7*MIN(1,($A13-Assumptions!$B$17+1)/Assumptions!$B$8),0)</f>
        <v>0</v>
      </c>
      <c r="AC13" s="24" t="n">
        <f aca="false">D13*Assumptions!$B$21</f>
        <v>35555.5555555556</v>
      </c>
      <c r="AD13" s="24" t="n">
        <f aca="false">D13*Assumptions!$B$22</f>
        <v>22222.2222222222</v>
      </c>
      <c r="AE13" s="24" t="n">
        <f aca="false">D13*Assumptions!$B$23</f>
        <v>13333.3333333333</v>
      </c>
      <c r="AF13" s="24" t="n">
        <f aca="false">D13*Assumptions!$B$24</f>
        <v>8888.88888888889</v>
      </c>
      <c r="AG13" s="24" t="n">
        <f aca="false">D13*Assumptions!$B$25</f>
        <v>26666.6666666667</v>
      </c>
      <c r="AH13" s="24" t="n">
        <f aca="false">IF(AND(R13&gt;=0,R12&lt;0),A13,0)</f>
        <v>0</v>
      </c>
      <c r="AI13" s="24" t="n">
        <f aca="false">IF(AND(S13&gt;=0,S12&lt;0),A13,0)</f>
        <v>0</v>
      </c>
    </row>
    <row r="14" customFormat="false" ht="15" hidden="false" customHeight="false" outlineLevel="0" collapsed="false">
      <c r="A14" s="18" t="n">
        <v>13</v>
      </c>
      <c r="B14" s="18" t="s">
        <v>119</v>
      </c>
      <c r="C14" s="19" t="n">
        <f aca="false">SUMPRODUCT(--(Assumptions!$B$14:$B$17&lt;=$A14))</f>
        <v>2</v>
      </c>
      <c r="D14" s="20" t="n">
        <f aca="false">SUM(U14:X14)</f>
        <v>5000</v>
      </c>
      <c r="E14" s="20" t="n">
        <f aca="false">SUM(Y14:AB14)</f>
        <v>35.4166666666667</v>
      </c>
      <c r="F14" s="21" t="n">
        <f aca="false">E14*Assumptions!$B$9</f>
        <v>2089.58333333333</v>
      </c>
      <c r="G14" s="21" t="n">
        <f aca="false">D14*Assumptions!$B$29*Assumptions!$B$30*Assumptions!$B$31</f>
        <v>540</v>
      </c>
      <c r="H14" s="21" t="n">
        <f aca="false">D14*Assumptions!$B$32*Assumptions!$B$33</f>
        <v>523.5</v>
      </c>
      <c r="I14" s="21" t="n">
        <f aca="false">D14*Assumptions!$B$26*Assumptions!$B$34/1000*Assumptions!$B$11</f>
        <v>0</v>
      </c>
      <c r="J14" s="21" t="n">
        <f aca="false">SUM(F14:I14)</f>
        <v>3153.08333333333</v>
      </c>
      <c r="K14" s="21" t="n">
        <f aca="false">MAX(0,(AC14+AD14+AE14+AF14+AG14)-Assumptions!$B$47)/1000*Assumptions!$B$43</f>
        <v>72</v>
      </c>
      <c r="L14" s="21" t="n">
        <f aca="false">MAX(0,AD14-Assumptions!$B$46)/1000*Assumptions!$B$39+MAX(0,AE14-Assumptions!$B$46)/1000*Assumptions!$B$40+MAX(0,(AC14+AF14+AG14)-Assumptions!$B$47)/1000*Assumptions!$B$43</f>
        <v>380</v>
      </c>
      <c r="M14" s="21" t="n">
        <f aca="false">MAX(0,AC14-Assumptions!$B$46)/1000*Assumptions!$B$38+MAX(0,AD14-Assumptions!$B$46)/1000*Assumptions!$B$39+MAX(0,AE14-Assumptions!$B$46)/1000*Assumptions!$B$40+MAX(0,AF14-Assumptions!$B$46)/1000*Assumptions!$B$41+MAX(0,AG14-Assumptions!$B$46)/1000*Assumptions!$B$42</f>
        <v>650</v>
      </c>
      <c r="N14" s="21" t="n">
        <f aca="false">CHOOSE(Assumptions!$B$10,K14,L14,M14)</f>
        <v>380</v>
      </c>
      <c r="O14" s="21" t="n">
        <f aca="false">IF(D14&gt;Assumptions!$B$52,Assumptions!$B$51,Assumptions!$B$50)</f>
        <v>0</v>
      </c>
      <c r="P14" s="21" t="n">
        <f aca="false">Assumptions!$B$53</f>
        <v>200</v>
      </c>
      <c r="Q14" s="21" t="n">
        <f aca="false">N14+O14+P14</f>
        <v>580</v>
      </c>
      <c r="R14" s="22" t="n">
        <f aca="false">J14-Q14</f>
        <v>2573.08333333333</v>
      </c>
      <c r="S14" s="23" t="n">
        <f aca="false">S13+R14</f>
        <v>15443.1944444444</v>
      </c>
      <c r="U14" s="24" t="n">
        <f aca="false">IF($A14&gt;=Assumptions!$B$14,MIN(Assumptions!$B$5,Assumptions!$B$5*($A14-Assumptions!$B$14+1)/Assumptions!$B$6),0)</f>
        <v>3611.11111111111</v>
      </c>
      <c r="V14" s="24" t="n">
        <f aca="false">IF($A14&gt;=Assumptions!$B$15,MIN(Assumptions!$B$5,Assumptions!$B$5*($A14-Assumptions!$B$15+1)/Assumptions!$B$6),0)</f>
        <v>1388.88888888889</v>
      </c>
      <c r="W14" s="24" t="n">
        <f aca="false">IF($A14&gt;=Assumptions!$B$16,MIN(Assumptions!$B$5,Assumptions!$B$5*($A14-Assumptions!$B$16+1)/Assumptions!$B$6),0)</f>
        <v>0</v>
      </c>
      <c r="X14" s="24" t="n">
        <f aca="false">IF($A14&gt;=Assumptions!$B$17,MIN(Assumptions!$B$5,Assumptions!$B$5*($A14-Assumptions!$B$17+1)/Assumptions!$B$6),0)</f>
        <v>0</v>
      </c>
      <c r="Y14" s="24" t="n">
        <f aca="false">IF($A14&gt;=Assumptions!$B$14,Assumptions!$B$7*MIN(1,($A14-Assumptions!$B$14+1)/Assumptions!$B$8),0)</f>
        <v>25</v>
      </c>
      <c r="Z14" s="24" t="n">
        <f aca="false">IF($A14&gt;=Assumptions!$B$15,Assumptions!$B$7*MIN(1,($A14-Assumptions!$B$15+1)/Assumptions!$B$8),0)</f>
        <v>10.4166666666667</v>
      </c>
      <c r="AA14" s="24" t="n">
        <f aca="false">IF($A14&gt;=Assumptions!$B$16,Assumptions!$B$7*MIN(1,($A14-Assumptions!$B$16+1)/Assumptions!$B$8),0)</f>
        <v>0</v>
      </c>
      <c r="AB14" s="24" t="n">
        <f aca="false">IF($A14&gt;=Assumptions!$B$17,Assumptions!$B$7*MIN(1,($A14-Assumptions!$B$17+1)/Assumptions!$B$8),0)</f>
        <v>0</v>
      </c>
      <c r="AC14" s="24" t="n">
        <f aca="false">D14*Assumptions!$B$21</f>
        <v>40000</v>
      </c>
      <c r="AD14" s="24" t="n">
        <f aca="false">D14*Assumptions!$B$22</f>
        <v>25000</v>
      </c>
      <c r="AE14" s="24" t="n">
        <f aca="false">D14*Assumptions!$B$23</f>
        <v>15000</v>
      </c>
      <c r="AF14" s="24" t="n">
        <f aca="false">D14*Assumptions!$B$24</f>
        <v>10000</v>
      </c>
      <c r="AG14" s="24" t="n">
        <f aca="false">D14*Assumptions!$B$25</f>
        <v>30000</v>
      </c>
      <c r="AH14" s="24" t="n">
        <f aca="false">IF(AND(R14&gt;=0,R13&lt;0),A14,0)</f>
        <v>0</v>
      </c>
      <c r="AI14" s="24" t="n">
        <f aca="false">IF(AND(S14&gt;=0,S13&lt;0),A14,0)</f>
        <v>0</v>
      </c>
    </row>
    <row r="15" customFormat="false" ht="15" hidden="false" customHeight="false" outlineLevel="0" collapsed="false">
      <c r="A15" s="18" t="n">
        <v>14</v>
      </c>
      <c r="B15" s="18" t="s">
        <v>120</v>
      </c>
      <c r="C15" s="19" t="n">
        <f aca="false">SUMPRODUCT(--(Assumptions!$B$14:$B$17&lt;=$A15))</f>
        <v>2</v>
      </c>
      <c r="D15" s="20" t="n">
        <f aca="false">SUM(U15:X15)</f>
        <v>5555.55555555556</v>
      </c>
      <c r="E15" s="20" t="n">
        <f aca="false">SUM(Y15:AB15)</f>
        <v>37.5</v>
      </c>
      <c r="F15" s="21" t="n">
        <f aca="false">E15*Assumptions!$B$9</f>
        <v>2212.5</v>
      </c>
      <c r="G15" s="21" t="n">
        <f aca="false">D15*Assumptions!$B$29*Assumptions!$B$30*Assumptions!$B$31</f>
        <v>600</v>
      </c>
      <c r="H15" s="21" t="n">
        <f aca="false">D15*Assumptions!$B$32*Assumptions!$B$33</f>
        <v>581.666666666667</v>
      </c>
      <c r="I15" s="21" t="n">
        <f aca="false">D15*Assumptions!$B$26*Assumptions!$B$34/1000*Assumptions!$B$11</f>
        <v>0</v>
      </c>
      <c r="J15" s="21" t="n">
        <f aca="false">SUM(F15:I15)</f>
        <v>3394.16666666667</v>
      </c>
      <c r="K15" s="21" t="n">
        <f aca="false">MAX(0,(AC15+AD15+AE15+AF15+AG15)-Assumptions!$B$47)/1000*Assumptions!$B$43</f>
        <v>82.6666666666667</v>
      </c>
      <c r="L15" s="21" t="n">
        <f aca="false">MAX(0,AD15-Assumptions!$B$46)/1000*Assumptions!$B$39+MAX(0,AE15-Assumptions!$B$46)/1000*Assumptions!$B$40+MAX(0,(AC15+AF15+AG15)-Assumptions!$B$47)/1000*Assumptions!$B$43</f>
        <v>462.666666666667</v>
      </c>
      <c r="M15" s="21" t="n">
        <f aca="false">MAX(0,AC15-Assumptions!$B$46)/1000*Assumptions!$B$38+MAX(0,AD15-Assumptions!$B$46)/1000*Assumptions!$B$39+MAX(0,AE15-Assumptions!$B$46)/1000*Assumptions!$B$40+MAX(0,AF15-Assumptions!$B$46)/1000*Assumptions!$B$41+MAX(0,AG15-Assumptions!$B$46)/1000*Assumptions!$B$42</f>
        <v>778.888888888889</v>
      </c>
      <c r="N15" s="21" t="n">
        <f aca="false">CHOOSE(Assumptions!$B$10,K15,L15,M15)</f>
        <v>462.666666666667</v>
      </c>
      <c r="O15" s="21" t="n">
        <f aca="false">IF(D15&gt;Assumptions!$B$52,Assumptions!$B$51,Assumptions!$B$50)</f>
        <v>0</v>
      </c>
      <c r="P15" s="21" t="n">
        <f aca="false">Assumptions!$B$53</f>
        <v>200</v>
      </c>
      <c r="Q15" s="21" t="n">
        <f aca="false">N15+O15+P15</f>
        <v>662.666666666667</v>
      </c>
      <c r="R15" s="22" t="n">
        <f aca="false">J15-Q15</f>
        <v>2731.5</v>
      </c>
      <c r="S15" s="23" t="n">
        <f aca="false">S14+R15</f>
        <v>18174.6944444444</v>
      </c>
      <c r="U15" s="24" t="n">
        <f aca="false">IF($A15&gt;=Assumptions!$B$14,MIN(Assumptions!$B$5,Assumptions!$B$5*($A15-Assumptions!$B$14+1)/Assumptions!$B$6),0)</f>
        <v>3888.88888888889</v>
      </c>
      <c r="V15" s="24" t="n">
        <f aca="false">IF($A15&gt;=Assumptions!$B$15,MIN(Assumptions!$B$5,Assumptions!$B$5*($A15-Assumptions!$B$15+1)/Assumptions!$B$6),0)</f>
        <v>1666.66666666667</v>
      </c>
      <c r="W15" s="24" t="n">
        <f aca="false">IF($A15&gt;=Assumptions!$B$16,MIN(Assumptions!$B$5,Assumptions!$B$5*($A15-Assumptions!$B$16+1)/Assumptions!$B$6),0)</f>
        <v>0</v>
      </c>
      <c r="X15" s="24" t="n">
        <f aca="false">IF($A15&gt;=Assumptions!$B$17,MIN(Assumptions!$B$5,Assumptions!$B$5*($A15-Assumptions!$B$17+1)/Assumptions!$B$6),0)</f>
        <v>0</v>
      </c>
      <c r="Y15" s="24" t="n">
        <f aca="false">IF($A15&gt;=Assumptions!$B$14,Assumptions!$B$7*MIN(1,($A15-Assumptions!$B$14+1)/Assumptions!$B$8),0)</f>
        <v>25</v>
      </c>
      <c r="Z15" s="24" t="n">
        <f aca="false">IF($A15&gt;=Assumptions!$B$15,Assumptions!$B$7*MIN(1,($A15-Assumptions!$B$15+1)/Assumptions!$B$8),0)</f>
        <v>12.5</v>
      </c>
      <c r="AA15" s="24" t="n">
        <f aca="false">IF($A15&gt;=Assumptions!$B$16,Assumptions!$B$7*MIN(1,($A15-Assumptions!$B$16+1)/Assumptions!$B$8),0)</f>
        <v>0</v>
      </c>
      <c r="AB15" s="24" t="n">
        <f aca="false">IF($A15&gt;=Assumptions!$B$17,Assumptions!$B$7*MIN(1,($A15-Assumptions!$B$17+1)/Assumptions!$B$8),0)</f>
        <v>0</v>
      </c>
      <c r="AC15" s="24" t="n">
        <f aca="false">D15*Assumptions!$B$21</f>
        <v>44444.4444444444</v>
      </c>
      <c r="AD15" s="24" t="n">
        <f aca="false">D15*Assumptions!$B$22</f>
        <v>27777.7777777778</v>
      </c>
      <c r="AE15" s="24" t="n">
        <f aca="false">D15*Assumptions!$B$23</f>
        <v>16666.6666666667</v>
      </c>
      <c r="AF15" s="24" t="n">
        <f aca="false">D15*Assumptions!$B$24</f>
        <v>11111.1111111111</v>
      </c>
      <c r="AG15" s="24" t="n">
        <f aca="false">D15*Assumptions!$B$25</f>
        <v>33333.3333333333</v>
      </c>
      <c r="AH15" s="24" t="n">
        <f aca="false">IF(AND(R15&gt;=0,R14&lt;0),A15,0)</f>
        <v>0</v>
      </c>
      <c r="AI15" s="24" t="n">
        <f aca="false">IF(AND(S15&gt;=0,S14&lt;0),A15,0)</f>
        <v>0</v>
      </c>
    </row>
    <row r="16" customFormat="false" ht="15" hidden="false" customHeight="false" outlineLevel="0" collapsed="false">
      <c r="A16" s="18" t="n">
        <v>15</v>
      </c>
      <c r="B16" s="18" t="s">
        <v>121</v>
      </c>
      <c r="C16" s="19" t="n">
        <f aca="false">SUMPRODUCT(--(Assumptions!$B$14:$B$17&lt;=$A16))</f>
        <v>2</v>
      </c>
      <c r="D16" s="20" t="n">
        <f aca="false">SUM(U16:X16)</f>
        <v>6111.11111111111</v>
      </c>
      <c r="E16" s="20" t="n">
        <f aca="false">SUM(Y16:AB16)</f>
        <v>39.5833333333333</v>
      </c>
      <c r="F16" s="21" t="n">
        <f aca="false">E16*Assumptions!$B$9</f>
        <v>2335.41666666667</v>
      </c>
      <c r="G16" s="21" t="n">
        <f aca="false">D16*Assumptions!$B$29*Assumptions!$B$30*Assumptions!$B$31</f>
        <v>660</v>
      </c>
      <c r="H16" s="21" t="n">
        <f aca="false">D16*Assumptions!$B$32*Assumptions!$B$33</f>
        <v>639.833333333333</v>
      </c>
      <c r="I16" s="21" t="n">
        <f aca="false">D16*Assumptions!$B$26*Assumptions!$B$34/1000*Assumptions!$B$11</f>
        <v>0</v>
      </c>
      <c r="J16" s="21" t="n">
        <f aca="false">SUM(F16:I16)</f>
        <v>3635.25</v>
      </c>
      <c r="K16" s="21" t="n">
        <f aca="false">MAX(0,(AC16+AD16+AE16+AF16+AG16)-Assumptions!$B$47)/1000*Assumptions!$B$43</f>
        <v>93.3333333333334</v>
      </c>
      <c r="L16" s="21" t="n">
        <f aca="false">MAX(0,AD16-Assumptions!$B$46)/1000*Assumptions!$B$39+MAX(0,AE16-Assumptions!$B$46)/1000*Assumptions!$B$40+MAX(0,(AC16+AF16+AG16)-Assumptions!$B$47)/1000*Assumptions!$B$43</f>
        <v>545.333333333333</v>
      </c>
      <c r="M16" s="21" t="n">
        <f aca="false">MAX(0,AC16-Assumptions!$B$46)/1000*Assumptions!$B$38+MAX(0,AD16-Assumptions!$B$46)/1000*Assumptions!$B$39+MAX(0,AE16-Assumptions!$B$46)/1000*Assumptions!$B$40+MAX(0,AF16-Assumptions!$B$46)/1000*Assumptions!$B$41+MAX(0,AG16-Assumptions!$B$46)/1000*Assumptions!$B$42</f>
        <v>907.777777777778</v>
      </c>
      <c r="N16" s="21" t="n">
        <f aca="false">CHOOSE(Assumptions!$B$10,K16,L16,M16)</f>
        <v>545.333333333333</v>
      </c>
      <c r="O16" s="21" t="n">
        <f aca="false">IF(D16&gt;Assumptions!$B$52,Assumptions!$B$51,Assumptions!$B$50)</f>
        <v>0</v>
      </c>
      <c r="P16" s="21" t="n">
        <f aca="false">Assumptions!$B$53</f>
        <v>200</v>
      </c>
      <c r="Q16" s="21" t="n">
        <f aca="false">N16+O16+P16</f>
        <v>745.333333333333</v>
      </c>
      <c r="R16" s="22" t="n">
        <f aca="false">J16-Q16</f>
        <v>2889.91666666667</v>
      </c>
      <c r="S16" s="23" t="n">
        <f aca="false">S15+R16</f>
        <v>21064.6111111111</v>
      </c>
      <c r="U16" s="24" t="n">
        <f aca="false">IF($A16&gt;=Assumptions!$B$14,MIN(Assumptions!$B$5,Assumptions!$B$5*($A16-Assumptions!$B$14+1)/Assumptions!$B$6),0)</f>
        <v>4166.66666666667</v>
      </c>
      <c r="V16" s="24" t="n">
        <f aca="false">IF($A16&gt;=Assumptions!$B$15,MIN(Assumptions!$B$5,Assumptions!$B$5*($A16-Assumptions!$B$15+1)/Assumptions!$B$6),0)</f>
        <v>1944.44444444444</v>
      </c>
      <c r="W16" s="24" t="n">
        <f aca="false">IF($A16&gt;=Assumptions!$B$16,MIN(Assumptions!$B$5,Assumptions!$B$5*($A16-Assumptions!$B$16+1)/Assumptions!$B$6),0)</f>
        <v>0</v>
      </c>
      <c r="X16" s="24" t="n">
        <f aca="false">IF($A16&gt;=Assumptions!$B$17,MIN(Assumptions!$B$5,Assumptions!$B$5*($A16-Assumptions!$B$17+1)/Assumptions!$B$6),0)</f>
        <v>0</v>
      </c>
      <c r="Y16" s="24" t="n">
        <f aca="false">IF($A16&gt;=Assumptions!$B$14,Assumptions!$B$7*MIN(1,($A16-Assumptions!$B$14+1)/Assumptions!$B$8),0)</f>
        <v>25</v>
      </c>
      <c r="Z16" s="24" t="n">
        <f aca="false">IF($A16&gt;=Assumptions!$B$15,Assumptions!$B$7*MIN(1,($A16-Assumptions!$B$15+1)/Assumptions!$B$8),0)</f>
        <v>14.5833333333333</v>
      </c>
      <c r="AA16" s="24" t="n">
        <f aca="false">IF($A16&gt;=Assumptions!$B$16,Assumptions!$B$7*MIN(1,($A16-Assumptions!$B$16+1)/Assumptions!$B$8),0)</f>
        <v>0</v>
      </c>
      <c r="AB16" s="24" t="n">
        <f aca="false">IF($A16&gt;=Assumptions!$B$17,Assumptions!$B$7*MIN(1,($A16-Assumptions!$B$17+1)/Assumptions!$B$8),0)</f>
        <v>0</v>
      </c>
      <c r="AC16" s="24" t="n">
        <f aca="false">D16*Assumptions!$B$21</f>
        <v>48888.8888888889</v>
      </c>
      <c r="AD16" s="24" t="n">
        <f aca="false">D16*Assumptions!$B$22</f>
        <v>30555.5555555556</v>
      </c>
      <c r="AE16" s="24" t="n">
        <f aca="false">D16*Assumptions!$B$23</f>
        <v>18333.3333333333</v>
      </c>
      <c r="AF16" s="24" t="n">
        <f aca="false">D16*Assumptions!$B$24</f>
        <v>12222.2222222222</v>
      </c>
      <c r="AG16" s="24" t="n">
        <f aca="false">D16*Assumptions!$B$25</f>
        <v>36666.6666666667</v>
      </c>
      <c r="AH16" s="24" t="n">
        <f aca="false">IF(AND(R16&gt;=0,R15&lt;0),A16,0)</f>
        <v>0</v>
      </c>
      <c r="AI16" s="24" t="n">
        <f aca="false">IF(AND(S16&gt;=0,S15&lt;0),A16,0)</f>
        <v>0</v>
      </c>
    </row>
    <row r="17" customFormat="false" ht="15" hidden="false" customHeight="false" outlineLevel="0" collapsed="false">
      <c r="A17" s="18" t="n">
        <v>16</v>
      </c>
      <c r="B17" s="18" t="s">
        <v>122</v>
      </c>
      <c r="C17" s="19" t="n">
        <f aca="false">SUMPRODUCT(--(Assumptions!$B$14:$B$17&lt;=$A17))</f>
        <v>2</v>
      </c>
      <c r="D17" s="20" t="n">
        <f aca="false">SUM(U17:X17)</f>
        <v>6666.66666666667</v>
      </c>
      <c r="E17" s="20" t="n">
        <f aca="false">SUM(Y17:AB17)</f>
        <v>41.6666666666667</v>
      </c>
      <c r="F17" s="21" t="n">
        <f aca="false">E17*Assumptions!$B$9</f>
        <v>2458.33333333333</v>
      </c>
      <c r="G17" s="21" t="n">
        <f aca="false">D17*Assumptions!$B$29*Assumptions!$B$30*Assumptions!$B$31</f>
        <v>720</v>
      </c>
      <c r="H17" s="21" t="n">
        <f aca="false">D17*Assumptions!$B$32*Assumptions!$B$33</f>
        <v>698</v>
      </c>
      <c r="I17" s="21" t="n">
        <f aca="false">D17*Assumptions!$B$26*Assumptions!$B$34/1000*Assumptions!$B$11</f>
        <v>0</v>
      </c>
      <c r="J17" s="21" t="n">
        <f aca="false">SUM(F17:I17)</f>
        <v>3876.33333333333</v>
      </c>
      <c r="K17" s="21" t="n">
        <f aca="false">MAX(0,(AC17+AD17+AE17+AF17+AG17)-Assumptions!$B$47)/1000*Assumptions!$B$43</f>
        <v>104</v>
      </c>
      <c r="L17" s="21" t="n">
        <f aca="false">MAX(0,AD17-Assumptions!$B$46)/1000*Assumptions!$B$39+MAX(0,AE17-Assumptions!$B$46)/1000*Assumptions!$B$40+MAX(0,(AC17+AF17+AG17)-Assumptions!$B$47)/1000*Assumptions!$B$43</f>
        <v>628</v>
      </c>
      <c r="M17" s="21" t="n">
        <f aca="false">MAX(0,AC17-Assumptions!$B$46)/1000*Assumptions!$B$38+MAX(0,AD17-Assumptions!$B$46)/1000*Assumptions!$B$39+MAX(0,AE17-Assumptions!$B$46)/1000*Assumptions!$B$40+MAX(0,AF17-Assumptions!$B$46)/1000*Assumptions!$B$41+MAX(0,AG17-Assumptions!$B$46)/1000*Assumptions!$B$42</f>
        <v>1036.66666666667</v>
      </c>
      <c r="N17" s="21" t="n">
        <f aca="false">CHOOSE(Assumptions!$B$10,K17,L17,M17)</f>
        <v>628</v>
      </c>
      <c r="O17" s="21" t="n">
        <f aca="false">IF(D17&gt;Assumptions!$B$52,Assumptions!$B$51,Assumptions!$B$50)</f>
        <v>0</v>
      </c>
      <c r="P17" s="21" t="n">
        <f aca="false">Assumptions!$B$53</f>
        <v>200</v>
      </c>
      <c r="Q17" s="21" t="n">
        <f aca="false">N17+O17+P17</f>
        <v>828</v>
      </c>
      <c r="R17" s="22" t="n">
        <f aca="false">J17-Q17</f>
        <v>3048.33333333333</v>
      </c>
      <c r="S17" s="23" t="n">
        <f aca="false">S16+R17</f>
        <v>24112.9444444444</v>
      </c>
      <c r="U17" s="24" t="n">
        <f aca="false">IF($A17&gt;=Assumptions!$B$14,MIN(Assumptions!$B$5,Assumptions!$B$5*($A17-Assumptions!$B$14+1)/Assumptions!$B$6),0)</f>
        <v>4444.44444444444</v>
      </c>
      <c r="V17" s="24" t="n">
        <f aca="false">IF($A17&gt;=Assumptions!$B$15,MIN(Assumptions!$B$5,Assumptions!$B$5*($A17-Assumptions!$B$15+1)/Assumptions!$B$6),0)</f>
        <v>2222.22222222222</v>
      </c>
      <c r="W17" s="24" t="n">
        <f aca="false">IF($A17&gt;=Assumptions!$B$16,MIN(Assumptions!$B$5,Assumptions!$B$5*($A17-Assumptions!$B$16+1)/Assumptions!$B$6),0)</f>
        <v>0</v>
      </c>
      <c r="X17" s="24" t="n">
        <f aca="false">IF($A17&gt;=Assumptions!$B$17,MIN(Assumptions!$B$5,Assumptions!$B$5*($A17-Assumptions!$B$17+1)/Assumptions!$B$6),0)</f>
        <v>0</v>
      </c>
      <c r="Y17" s="24" t="n">
        <f aca="false">IF($A17&gt;=Assumptions!$B$14,Assumptions!$B$7*MIN(1,($A17-Assumptions!$B$14+1)/Assumptions!$B$8),0)</f>
        <v>25</v>
      </c>
      <c r="Z17" s="24" t="n">
        <f aca="false">IF($A17&gt;=Assumptions!$B$15,Assumptions!$B$7*MIN(1,($A17-Assumptions!$B$15+1)/Assumptions!$B$8),0)</f>
        <v>16.6666666666667</v>
      </c>
      <c r="AA17" s="24" t="n">
        <f aca="false">IF($A17&gt;=Assumptions!$B$16,Assumptions!$B$7*MIN(1,($A17-Assumptions!$B$16+1)/Assumptions!$B$8),0)</f>
        <v>0</v>
      </c>
      <c r="AB17" s="24" t="n">
        <f aca="false">IF($A17&gt;=Assumptions!$B$17,Assumptions!$B$7*MIN(1,($A17-Assumptions!$B$17+1)/Assumptions!$B$8),0)</f>
        <v>0</v>
      </c>
      <c r="AC17" s="24" t="n">
        <f aca="false">D17*Assumptions!$B$21</f>
        <v>53333.3333333333</v>
      </c>
      <c r="AD17" s="24" t="n">
        <f aca="false">D17*Assumptions!$B$22</f>
        <v>33333.3333333333</v>
      </c>
      <c r="AE17" s="24" t="n">
        <f aca="false">D17*Assumptions!$B$23</f>
        <v>20000</v>
      </c>
      <c r="AF17" s="24" t="n">
        <f aca="false">D17*Assumptions!$B$24</f>
        <v>13333.3333333333</v>
      </c>
      <c r="AG17" s="24" t="n">
        <f aca="false">D17*Assumptions!$B$25</f>
        <v>40000</v>
      </c>
      <c r="AH17" s="24" t="n">
        <f aca="false">IF(AND(R17&gt;=0,R16&lt;0),A17,0)</f>
        <v>0</v>
      </c>
      <c r="AI17" s="24" t="n">
        <f aca="false">IF(AND(S17&gt;=0,S16&lt;0),A17,0)</f>
        <v>0</v>
      </c>
    </row>
    <row r="18" customFormat="false" ht="15" hidden="false" customHeight="false" outlineLevel="0" collapsed="false">
      <c r="A18" s="18" t="n">
        <v>17</v>
      </c>
      <c r="B18" s="18" t="s">
        <v>123</v>
      </c>
      <c r="C18" s="19" t="n">
        <f aca="false">SUMPRODUCT(--(Assumptions!$B$14:$B$17&lt;=$A18))</f>
        <v>2</v>
      </c>
      <c r="D18" s="20" t="n">
        <f aca="false">SUM(U18:X18)</f>
        <v>7222.22222222222</v>
      </c>
      <c r="E18" s="20" t="n">
        <f aca="false">SUM(Y18:AB18)</f>
        <v>43.75</v>
      </c>
      <c r="F18" s="21" t="n">
        <f aca="false">E18*Assumptions!$B$9</f>
        <v>2581.25</v>
      </c>
      <c r="G18" s="21" t="n">
        <f aca="false">D18*Assumptions!$B$29*Assumptions!$B$30*Assumptions!$B$31</f>
        <v>780</v>
      </c>
      <c r="H18" s="21" t="n">
        <f aca="false">D18*Assumptions!$B$32*Assumptions!$B$33</f>
        <v>756.166666666667</v>
      </c>
      <c r="I18" s="21" t="n">
        <f aca="false">D18*Assumptions!$B$26*Assumptions!$B$34/1000*Assumptions!$B$11</f>
        <v>0</v>
      </c>
      <c r="J18" s="21" t="n">
        <f aca="false">SUM(F18:I18)</f>
        <v>4117.41666666667</v>
      </c>
      <c r="K18" s="21" t="n">
        <f aca="false">MAX(0,(AC18+AD18+AE18+AF18+AG18)-Assumptions!$B$47)/1000*Assumptions!$B$43</f>
        <v>114.666666666667</v>
      </c>
      <c r="L18" s="21" t="n">
        <f aca="false">MAX(0,AD18-Assumptions!$B$46)/1000*Assumptions!$B$39+MAX(0,AE18-Assumptions!$B$46)/1000*Assumptions!$B$40+MAX(0,(AC18+AF18+AG18)-Assumptions!$B$47)/1000*Assumptions!$B$43</f>
        <v>710.666666666667</v>
      </c>
      <c r="M18" s="21" t="n">
        <f aca="false">MAX(0,AC18-Assumptions!$B$46)/1000*Assumptions!$B$38+MAX(0,AD18-Assumptions!$B$46)/1000*Assumptions!$B$39+MAX(0,AE18-Assumptions!$B$46)/1000*Assumptions!$B$40+MAX(0,AF18-Assumptions!$B$46)/1000*Assumptions!$B$41+MAX(0,AG18-Assumptions!$B$46)/1000*Assumptions!$B$42</f>
        <v>1165.55555555556</v>
      </c>
      <c r="N18" s="21" t="n">
        <f aca="false">CHOOSE(Assumptions!$B$10,K18,L18,M18)</f>
        <v>710.666666666667</v>
      </c>
      <c r="O18" s="21" t="n">
        <f aca="false">IF(D18&gt;Assumptions!$B$52,Assumptions!$B$51,Assumptions!$B$50)</f>
        <v>0</v>
      </c>
      <c r="P18" s="21" t="n">
        <f aca="false">Assumptions!$B$53</f>
        <v>200</v>
      </c>
      <c r="Q18" s="21" t="n">
        <f aca="false">N18+O18+P18</f>
        <v>910.666666666667</v>
      </c>
      <c r="R18" s="22" t="n">
        <f aca="false">J18-Q18</f>
        <v>3206.75</v>
      </c>
      <c r="S18" s="23" t="n">
        <f aca="false">S17+R18</f>
        <v>27319.6944444444</v>
      </c>
      <c r="U18" s="24" t="n">
        <f aca="false">IF($A18&gt;=Assumptions!$B$14,MIN(Assumptions!$B$5,Assumptions!$B$5*($A18-Assumptions!$B$14+1)/Assumptions!$B$6),0)</f>
        <v>4722.22222222222</v>
      </c>
      <c r="V18" s="24" t="n">
        <f aca="false">IF($A18&gt;=Assumptions!$B$15,MIN(Assumptions!$B$5,Assumptions!$B$5*($A18-Assumptions!$B$15+1)/Assumptions!$B$6),0)</f>
        <v>2500</v>
      </c>
      <c r="W18" s="24" t="n">
        <f aca="false">IF($A18&gt;=Assumptions!$B$16,MIN(Assumptions!$B$5,Assumptions!$B$5*($A18-Assumptions!$B$16+1)/Assumptions!$B$6),0)</f>
        <v>0</v>
      </c>
      <c r="X18" s="24" t="n">
        <f aca="false">IF($A18&gt;=Assumptions!$B$17,MIN(Assumptions!$B$5,Assumptions!$B$5*($A18-Assumptions!$B$17+1)/Assumptions!$B$6),0)</f>
        <v>0</v>
      </c>
      <c r="Y18" s="24" t="n">
        <f aca="false">IF($A18&gt;=Assumptions!$B$14,Assumptions!$B$7*MIN(1,($A18-Assumptions!$B$14+1)/Assumptions!$B$8),0)</f>
        <v>25</v>
      </c>
      <c r="Z18" s="24" t="n">
        <f aca="false">IF($A18&gt;=Assumptions!$B$15,Assumptions!$B$7*MIN(1,($A18-Assumptions!$B$15+1)/Assumptions!$B$8),0)</f>
        <v>18.75</v>
      </c>
      <c r="AA18" s="24" t="n">
        <f aca="false">IF($A18&gt;=Assumptions!$B$16,Assumptions!$B$7*MIN(1,($A18-Assumptions!$B$16+1)/Assumptions!$B$8),0)</f>
        <v>0</v>
      </c>
      <c r="AB18" s="24" t="n">
        <f aca="false">IF($A18&gt;=Assumptions!$B$17,Assumptions!$B$7*MIN(1,($A18-Assumptions!$B$17+1)/Assumptions!$B$8),0)</f>
        <v>0</v>
      </c>
      <c r="AC18" s="24" t="n">
        <f aca="false">D18*Assumptions!$B$21</f>
        <v>57777.7777777778</v>
      </c>
      <c r="AD18" s="24" t="n">
        <f aca="false">D18*Assumptions!$B$22</f>
        <v>36111.1111111111</v>
      </c>
      <c r="AE18" s="24" t="n">
        <f aca="false">D18*Assumptions!$B$23</f>
        <v>21666.6666666667</v>
      </c>
      <c r="AF18" s="24" t="n">
        <f aca="false">D18*Assumptions!$B$24</f>
        <v>14444.4444444444</v>
      </c>
      <c r="AG18" s="24" t="n">
        <f aca="false">D18*Assumptions!$B$25</f>
        <v>43333.3333333333</v>
      </c>
      <c r="AH18" s="24" t="n">
        <f aca="false">IF(AND(R18&gt;=0,R17&lt;0),A18,0)</f>
        <v>0</v>
      </c>
      <c r="AI18" s="24" t="n">
        <f aca="false">IF(AND(S18&gt;=0,S17&lt;0),A18,0)</f>
        <v>0</v>
      </c>
    </row>
    <row r="19" customFormat="false" ht="15" hidden="false" customHeight="false" outlineLevel="0" collapsed="false">
      <c r="A19" s="18" t="n">
        <v>18</v>
      </c>
      <c r="B19" s="18" t="s">
        <v>124</v>
      </c>
      <c r="C19" s="19" t="n">
        <f aca="false">SUMPRODUCT(--(Assumptions!$B$14:$B$17&lt;=$A19))</f>
        <v>3</v>
      </c>
      <c r="D19" s="20" t="n">
        <f aca="false">SUM(U19:X19)</f>
        <v>8055.55555555556</v>
      </c>
      <c r="E19" s="20" t="n">
        <f aca="false">SUM(Y19:AB19)</f>
        <v>47.9166666666667</v>
      </c>
      <c r="F19" s="21" t="n">
        <f aca="false">E19*Assumptions!$B$9</f>
        <v>2827.08333333333</v>
      </c>
      <c r="G19" s="21" t="n">
        <f aca="false">D19*Assumptions!$B$29*Assumptions!$B$30*Assumptions!$B$31</f>
        <v>870</v>
      </c>
      <c r="H19" s="21" t="n">
        <f aca="false">D19*Assumptions!$B$32*Assumptions!$B$33</f>
        <v>843.416666666667</v>
      </c>
      <c r="I19" s="21" t="n">
        <f aca="false">D19*Assumptions!$B$26*Assumptions!$B$34/1000*Assumptions!$B$11</f>
        <v>0</v>
      </c>
      <c r="J19" s="21" t="n">
        <f aca="false">SUM(F19:I19)</f>
        <v>4540.5</v>
      </c>
      <c r="K19" s="21" t="n">
        <f aca="false">MAX(0,(AC19+AD19+AE19+AF19+AG19)-Assumptions!$B$47)/1000*Assumptions!$B$43</f>
        <v>130.666666666667</v>
      </c>
      <c r="L19" s="21" t="n">
        <f aca="false">MAX(0,AD19-Assumptions!$B$46)/1000*Assumptions!$B$39+MAX(0,AE19-Assumptions!$B$46)/1000*Assumptions!$B$40+MAX(0,(AC19+AF19+AG19)-Assumptions!$B$47)/1000*Assumptions!$B$43</f>
        <v>834.666666666667</v>
      </c>
      <c r="M19" s="21" t="n">
        <f aca="false">MAX(0,AC19-Assumptions!$B$46)/1000*Assumptions!$B$38+MAX(0,AD19-Assumptions!$B$46)/1000*Assumptions!$B$39+MAX(0,AE19-Assumptions!$B$46)/1000*Assumptions!$B$40+MAX(0,AF19-Assumptions!$B$46)/1000*Assumptions!$B$41+MAX(0,AG19-Assumptions!$B$46)/1000*Assumptions!$B$42</f>
        <v>1358.88888888889</v>
      </c>
      <c r="N19" s="21" t="n">
        <f aca="false">CHOOSE(Assumptions!$B$10,K19,L19,M19)</f>
        <v>834.666666666667</v>
      </c>
      <c r="O19" s="21" t="n">
        <f aca="false">IF(D19&gt;Assumptions!$B$52,Assumptions!$B$51,Assumptions!$B$50)</f>
        <v>45</v>
      </c>
      <c r="P19" s="21" t="n">
        <f aca="false">Assumptions!$B$53</f>
        <v>200</v>
      </c>
      <c r="Q19" s="21" t="n">
        <f aca="false">N19+O19+P19</f>
        <v>1079.66666666667</v>
      </c>
      <c r="R19" s="22" t="n">
        <f aca="false">J19-Q19</f>
        <v>3460.83333333333</v>
      </c>
      <c r="S19" s="23" t="n">
        <f aca="false">S18+R19</f>
        <v>30780.5277777778</v>
      </c>
      <c r="U19" s="24" t="n">
        <f aca="false">IF($A19&gt;=Assumptions!$B$14,MIN(Assumptions!$B$5,Assumptions!$B$5*($A19-Assumptions!$B$14+1)/Assumptions!$B$6),0)</f>
        <v>5000</v>
      </c>
      <c r="V19" s="24" t="n">
        <f aca="false">IF($A19&gt;=Assumptions!$B$15,MIN(Assumptions!$B$5,Assumptions!$B$5*($A19-Assumptions!$B$15+1)/Assumptions!$B$6),0)</f>
        <v>2777.77777777778</v>
      </c>
      <c r="W19" s="24" t="n">
        <f aca="false">IF($A19&gt;=Assumptions!$B$16,MIN(Assumptions!$B$5,Assumptions!$B$5*($A19-Assumptions!$B$16+1)/Assumptions!$B$6),0)</f>
        <v>277.777777777778</v>
      </c>
      <c r="X19" s="24" t="n">
        <f aca="false">IF($A19&gt;=Assumptions!$B$17,MIN(Assumptions!$B$5,Assumptions!$B$5*($A19-Assumptions!$B$17+1)/Assumptions!$B$6),0)</f>
        <v>0</v>
      </c>
      <c r="Y19" s="24" t="n">
        <f aca="false">IF($A19&gt;=Assumptions!$B$14,Assumptions!$B$7*MIN(1,($A19-Assumptions!$B$14+1)/Assumptions!$B$8),0)</f>
        <v>25</v>
      </c>
      <c r="Z19" s="24" t="n">
        <f aca="false">IF($A19&gt;=Assumptions!$B$15,Assumptions!$B$7*MIN(1,($A19-Assumptions!$B$15+1)/Assumptions!$B$8),0)</f>
        <v>20.8333333333333</v>
      </c>
      <c r="AA19" s="24" t="n">
        <f aca="false">IF($A19&gt;=Assumptions!$B$16,Assumptions!$B$7*MIN(1,($A19-Assumptions!$B$16+1)/Assumptions!$B$8),0)</f>
        <v>2.08333333333333</v>
      </c>
      <c r="AB19" s="24" t="n">
        <f aca="false">IF($A19&gt;=Assumptions!$B$17,Assumptions!$B$7*MIN(1,($A19-Assumptions!$B$17+1)/Assumptions!$B$8),0)</f>
        <v>0</v>
      </c>
      <c r="AC19" s="24" t="n">
        <f aca="false">D19*Assumptions!$B$21</f>
        <v>64444.4444444444</v>
      </c>
      <c r="AD19" s="24" t="n">
        <f aca="false">D19*Assumptions!$B$22</f>
        <v>40277.7777777778</v>
      </c>
      <c r="AE19" s="24" t="n">
        <f aca="false">D19*Assumptions!$B$23</f>
        <v>24166.6666666667</v>
      </c>
      <c r="AF19" s="24" t="n">
        <f aca="false">D19*Assumptions!$B$24</f>
        <v>16111.1111111111</v>
      </c>
      <c r="AG19" s="24" t="n">
        <f aca="false">D19*Assumptions!$B$25</f>
        <v>48333.3333333333</v>
      </c>
      <c r="AH19" s="24" t="n">
        <f aca="false">IF(AND(R19&gt;=0,R18&lt;0),A19,0)</f>
        <v>0</v>
      </c>
      <c r="AI19" s="24" t="n">
        <f aca="false">IF(AND(S19&gt;=0,S18&lt;0),A19,0)</f>
        <v>0</v>
      </c>
    </row>
    <row r="20" customFormat="false" ht="15" hidden="false" customHeight="false" outlineLevel="0" collapsed="false">
      <c r="A20" s="18" t="n">
        <v>19</v>
      </c>
      <c r="B20" s="18" t="s">
        <v>125</v>
      </c>
      <c r="C20" s="19" t="n">
        <f aca="false">SUMPRODUCT(--(Assumptions!$B$14:$B$17&lt;=$A20))</f>
        <v>3</v>
      </c>
      <c r="D20" s="20" t="n">
        <f aca="false">SUM(U20:X20)</f>
        <v>8611.11111111111</v>
      </c>
      <c r="E20" s="20" t="n">
        <f aca="false">SUM(Y20:AB20)</f>
        <v>52.0833333333333</v>
      </c>
      <c r="F20" s="21" t="n">
        <f aca="false">E20*Assumptions!$B$9</f>
        <v>3072.91666666667</v>
      </c>
      <c r="G20" s="21" t="n">
        <f aca="false">D20*Assumptions!$B$29*Assumptions!$B$30*Assumptions!$B$31</f>
        <v>930</v>
      </c>
      <c r="H20" s="21" t="n">
        <f aca="false">D20*Assumptions!$B$32*Assumptions!$B$33</f>
        <v>901.583333333333</v>
      </c>
      <c r="I20" s="21" t="n">
        <f aca="false">D20*Assumptions!$B$26*Assumptions!$B$34/1000*Assumptions!$B$11</f>
        <v>0</v>
      </c>
      <c r="J20" s="21" t="n">
        <f aca="false">SUM(F20:I20)</f>
        <v>4904.5</v>
      </c>
      <c r="K20" s="21" t="n">
        <f aca="false">MAX(0,(AC20+AD20+AE20+AF20+AG20)-Assumptions!$B$47)/1000*Assumptions!$B$43</f>
        <v>141.333333333333</v>
      </c>
      <c r="L20" s="21" t="n">
        <f aca="false">MAX(0,AD20-Assumptions!$B$46)/1000*Assumptions!$B$39+MAX(0,AE20-Assumptions!$B$46)/1000*Assumptions!$B$40+MAX(0,(AC20+AF20+AG20)-Assumptions!$B$47)/1000*Assumptions!$B$43</f>
        <v>917.333333333333</v>
      </c>
      <c r="M20" s="21" t="n">
        <f aca="false">MAX(0,AC20-Assumptions!$B$46)/1000*Assumptions!$B$38+MAX(0,AD20-Assumptions!$B$46)/1000*Assumptions!$B$39+MAX(0,AE20-Assumptions!$B$46)/1000*Assumptions!$B$40+MAX(0,AF20-Assumptions!$B$46)/1000*Assumptions!$B$41+MAX(0,AG20-Assumptions!$B$46)/1000*Assumptions!$B$42</f>
        <v>1487.77777777778</v>
      </c>
      <c r="N20" s="21" t="n">
        <f aca="false">CHOOSE(Assumptions!$B$10,K20,L20,M20)</f>
        <v>917.333333333333</v>
      </c>
      <c r="O20" s="21" t="n">
        <f aca="false">IF(D20&gt;Assumptions!$B$52,Assumptions!$B$51,Assumptions!$B$50)</f>
        <v>45</v>
      </c>
      <c r="P20" s="21" t="n">
        <f aca="false">Assumptions!$B$53</f>
        <v>200</v>
      </c>
      <c r="Q20" s="21" t="n">
        <f aca="false">N20+O20+P20</f>
        <v>1162.33333333333</v>
      </c>
      <c r="R20" s="22" t="n">
        <f aca="false">J20-Q20</f>
        <v>3742.16666666667</v>
      </c>
      <c r="S20" s="23" t="n">
        <f aca="false">S19+R20</f>
        <v>34522.6944444444</v>
      </c>
      <c r="U20" s="24" t="n">
        <f aca="false">IF($A20&gt;=Assumptions!$B$14,MIN(Assumptions!$B$5,Assumptions!$B$5*($A20-Assumptions!$B$14+1)/Assumptions!$B$6),0)</f>
        <v>5000</v>
      </c>
      <c r="V20" s="24" t="n">
        <f aca="false">IF($A20&gt;=Assumptions!$B$15,MIN(Assumptions!$B$5,Assumptions!$B$5*($A20-Assumptions!$B$15+1)/Assumptions!$B$6),0)</f>
        <v>3055.55555555556</v>
      </c>
      <c r="W20" s="24" t="n">
        <f aca="false">IF($A20&gt;=Assumptions!$B$16,MIN(Assumptions!$B$5,Assumptions!$B$5*($A20-Assumptions!$B$16+1)/Assumptions!$B$6),0)</f>
        <v>555.555555555556</v>
      </c>
      <c r="X20" s="24" t="n">
        <f aca="false">IF($A20&gt;=Assumptions!$B$17,MIN(Assumptions!$B$5,Assumptions!$B$5*($A20-Assumptions!$B$17+1)/Assumptions!$B$6),0)</f>
        <v>0</v>
      </c>
      <c r="Y20" s="24" t="n">
        <f aca="false">IF($A20&gt;=Assumptions!$B$14,Assumptions!$B$7*MIN(1,($A20-Assumptions!$B$14+1)/Assumptions!$B$8),0)</f>
        <v>25</v>
      </c>
      <c r="Z20" s="24" t="n">
        <f aca="false">IF($A20&gt;=Assumptions!$B$15,Assumptions!$B$7*MIN(1,($A20-Assumptions!$B$15+1)/Assumptions!$B$8),0)</f>
        <v>22.9166666666667</v>
      </c>
      <c r="AA20" s="24" t="n">
        <f aca="false">IF($A20&gt;=Assumptions!$B$16,Assumptions!$B$7*MIN(1,($A20-Assumptions!$B$16+1)/Assumptions!$B$8),0)</f>
        <v>4.16666666666667</v>
      </c>
      <c r="AB20" s="24" t="n">
        <f aca="false">IF($A20&gt;=Assumptions!$B$17,Assumptions!$B$7*MIN(1,($A20-Assumptions!$B$17+1)/Assumptions!$B$8),0)</f>
        <v>0</v>
      </c>
      <c r="AC20" s="24" t="n">
        <f aca="false">D20*Assumptions!$B$21</f>
        <v>68888.8888888889</v>
      </c>
      <c r="AD20" s="24" t="n">
        <f aca="false">D20*Assumptions!$B$22</f>
        <v>43055.5555555556</v>
      </c>
      <c r="AE20" s="24" t="n">
        <f aca="false">D20*Assumptions!$B$23</f>
        <v>25833.3333333333</v>
      </c>
      <c r="AF20" s="24" t="n">
        <f aca="false">D20*Assumptions!$B$24</f>
        <v>17222.2222222222</v>
      </c>
      <c r="AG20" s="24" t="n">
        <f aca="false">D20*Assumptions!$B$25</f>
        <v>51666.6666666667</v>
      </c>
      <c r="AH20" s="24" t="n">
        <f aca="false">IF(AND(R20&gt;=0,R19&lt;0),A20,0)</f>
        <v>0</v>
      </c>
      <c r="AI20" s="24" t="n">
        <f aca="false">IF(AND(S20&gt;=0,S19&lt;0),A20,0)</f>
        <v>0</v>
      </c>
    </row>
    <row r="21" customFormat="false" ht="15" hidden="false" customHeight="false" outlineLevel="0" collapsed="false">
      <c r="A21" s="18" t="n">
        <v>20</v>
      </c>
      <c r="B21" s="18" t="s">
        <v>126</v>
      </c>
      <c r="C21" s="19" t="n">
        <f aca="false">SUMPRODUCT(--(Assumptions!$B$14:$B$17&lt;=$A21))</f>
        <v>3</v>
      </c>
      <c r="D21" s="20" t="n">
        <f aca="false">SUM(U21:X21)</f>
        <v>9166.66666666667</v>
      </c>
      <c r="E21" s="20" t="n">
        <f aca="false">SUM(Y21:AB21)</f>
        <v>56.25</v>
      </c>
      <c r="F21" s="21" t="n">
        <f aca="false">E21*Assumptions!$B$9</f>
        <v>3318.75</v>
      </c>
      <c r="G21" s="21" t="n">
        <f aca="false">D21*Assumptions!$B$29*Assumptions!$B$30*Assumptions!$B$31</f>
        <v>990</v>
      </c>
      <c r="H21" s="21" t="n">
        <f aca="false">D21*Assumptions!$B$32*Assumptions!$B$33</f>
        <v>959.75</v>
      </c>
      <c r="I21" s="21" t="n">
        <f aca="false">D21*Assumptions!$B$26*Assumptions!$B$34/1000*Assumptions!$B$11</f>
        <v>0</v>
      </c>
      <c r="J21" s="21" t="n">
        <f aca="false">SUM(F21:I21)</f>
        <v>5268.5</v>
      </c>
      <c r="K21" s="21" t="n">
        <f aca="false">MAX(0,(AC21+AD21+AE21+AF21+AG21)-Assumptions!$B$47)/1000*Assumptions!$B$43</f>
        <v>152</v>
      </c>
      <c r="L21" s="21" t="n">
        <f aca="false">MAX(0,AD21-Assumptions!$B$46)/1000*Assumptions!$B$39+MAX(0,AE21-Assumptions!$B$46)/1000*Assumptions!$B$40+MAX(0,(AC21+AF21+AG21)-Assumptions!$B$47)/1000*Assumptions!$B$43</f>
        <v>1000</v>
      </c>
      <c r="M21" s="21" t="n">
        <f aca="false">MAX(0,AC21-Assumptions!$B$46)/1000*Assumptions!$B$38+MAX(0,AD21-Assumptions!$B$46)/1000*Assumptions!$B$39+MAX(0,AE21-Assumptions!$B$46)/1000*Assumptions!$B$40+MAX(0,AF21-Assumptions!$B$46)/1000*Assumptions!$B$41+MAX(0,AG21-Assumptions!$B$46)/1000*Assumptions!$B$42</f>
        <v>1616.66666666667</v>
      </c>
      <c r="N21" s="21" t="n">
        <f aca="false">CHOOSE(Assumptions!$B$10,K21,L21,M21)</f>
        <v>1000</v>
      </c>
      <c r="O21" s="21" t="n">
        <f aca="false">IF(D21&gt;Assumptions!$B$52,Assumptions!$B$51,Assumptions!$B$50)</f>
        <v>45</v>
      </c>
      <c r="P21" s="21" t="n">
        <f aca="false">Assumptions!$B$53</f>
        <v>200</v>
      </c>
      <c r="Q21" s="21" t="n">
        <f aca="false">N21+O21+P21</f>
        <v>1245</v>
      </c>
      <c r="R21" s="22" t="n">
        <f aca="false">J21-Q21</f>
        <v>4023.5</v>
      </c>
      <c r="S21" s="23" t="n">
        <f aca="false">S20+R21</f>
        <v>38546.1944444444</v>
      </c>
      <c r="U21" s="24" t="n">
        <f aca="false">IF($A21&gt;=Assumptions!$B$14,MIN(Assumptions!$B$5,Assumptions!$B$5*($A21-Assumptions!$B$14+1)/Assumptions!$B$6),0)</f>
        <v>5000</v>
      </c>
      <c r="V21" s="24" t="n">
        <f aca="false">IF($A21&gt;=Assumptions!$B$15,MIN(Assumptions!$B$5,Assumptions!$B$5*($A21-Assumptions!$B$15+1)/Assumptions!$B$6),0)</f>
        <v>3333.33333333333</v>
      </c>
      <c r="W21" s="24" t="n">
        <f aca="false">IF($A21&gt;=Assumptions!$B$16,MIN(Assumptions!$B$5,Assumptions!$B$5*($A21-Assumptions!$B$16+1)/Assumptions!$B$6),0)</f>
        <v>833.333333333333</v>
      </c>
      <c r="X21" s="24" t="n">
        <f aca="false">IF($A21&gt;=Assumptions!$B$17,MIN(Assumptions!$B$5,Assumptions!$B$5*($A21-Assumptions!$B$17+1)/Assumptions!$B$6),0)</f>
        <v>0</v>
      </c>
      <c r="Y21" s="24" t="n">
        <f aca="false">IF($A21&gt;=Assumptions!$B$14,Assumptions!$B$7*MIN(1,($A21-Assumptions!$B$14+1)/Assumptions!$B$8),0)</f>
        <v>25</v>
      </c>
      <c r="Z21" s="24" t="n">
        <f aca="false">IF($A21&gt;=Assumptions!$B$15,Assumptions!$B$7*MIN(1,($A21-Assumptions!$B$15+1)/Assumptions!$B$8),0)</f>
        <v>25</v>
      </c>
      <c r="AA21" s="24" t="n">
        <f aca="false">IF($A21&gt;=Assumptions!$B$16,Assumptions!$B$7*MIN(1,($A21-Assumptions!$B$16+1)/Assumptions!$B$8),0)</f>
        <v>6.25</v>
      </c>
      <c r="AB21" s="24" t="n">
        <f aca="false">IF($A21&gt;=Assumptions!$B$17,Assumptions!$B$7*MIN(1,($A21-Assumptions!$B$17+1)/Assumptions!$B$8),0)</f>
        <v>0</v>
      </c>
      <c r="AC21" s="24" t="n">
        <f aca="false">D21*Assumptions!$B$21</f>
        <v>73333.3333333333</v>
      </c>
      <c r="AD21" s="24" t="n">
        <f aca="false">D21*Assumptions!$B$22</f>
        <v>45833.3333333333</v>
      </c>
      <c r="AE21" s="24" t="n">
        <f aca="false">D21*Assumptions!$B$23</f>
        <v>27500</v>
      </c>
      <c r="AF21" s="24" t="n">
        <f aca="false">D21*Assumptions!$B$24</f>
        <v>18333.3333333333</v>
      </c>
      <c r="AG21" s="24" t="n">
        <f aca="false">D21*Assumptions!$B$25</f>
        <v>55000</v>
      </c>
      <c r="AH21" s="24" t="n">
        <f aca="false">IF(AND(R21&gt;=0,R20&lt;0),A21,0)</f>
        <v>0</v>
      </c>
      <c r="AI21" s="24" t="n">
        <f aca="false">IF(AND(S21&gt;=0,S20&lt;0),A21,0)</f>
        <v>0</v>
      </c>
    </row>
    <row r="22" customFormat="false" ht="15" hidden="false" customHeight="false" outlineLevel="0" collapsed="false">
      <c r="A22" s="18" t="n">
        <v>21</v>
      </c>
      <c r="B22" s="18" t="s">
        <v>127</v>
      </c>
      <c r="C22" s="19" t="n">
        <f aca="false">SUMPRODUCT(--(Assumptions!$B$14:$B$17&lt;=$A22))</f>
        <v>3</v>
      </c>
      <c r="D22" s="20" t="n">
        <f aca="false">SUM(U22:X22)</f>
        <v>9722.22222222222</v>
      </c>
      <c r="E22" s="20" t="n">
        <f aca="false">SUM(Y22:AB22)</f>
        <v>58.3333333333333</v>
      </c>
      <c r="F22" s="21" t="n">
        <f aca="false">E22*Assumptions!$B$9</f>
        <v>3441.66666666667</v>
      </c>
      <c r="G22" s="21" t="n">
        <f aca="false">D22*Assumptions!$B$29*Assumptions!$B$30*Assumptions!$B$31</f>
        <v>1050</v>
      </c>
      <c r="H22" s="21" t="n">
        <f aca="false">D22*Assumptions!$B$32*Assumptions!$B$33</f>
        <v>1017.91666666667</v>
      </c>
      <c r="I22" s="21" t="n">
        <f aca="false">D22*Assumptions!$B$26*Assumptions!$B$34/1000*Assumptions!$B$11</f>
        <v>0</v>
      </c>
      <c r="J22" s="21" t="n">
        <f aca="false">SUM(F22:I22)</f>
        <v>5509.58333333333</v>
      </c>
      <c r="K22" s="21" t="n">
        <f aca="false">MAX(0,(AC22+AD22+AE22+AF22+AG22)-Assumptions!$B$47)/1000*Assumptions!$B$43</f>
        <v>162.666666666667</v>
      </c>
      <c r="L22" s="21" t="n">
        <f aca="false">MAX(0,AD22-Assumptions!$B$46)/1000*Assumptions!$B$39+MAX(0,AE22-Assumptions!$B$46)/1000*Assumptions!$B$40+MAX(0,(AC22+AF22+AG22)-Assumptions!$B$47)/1000*Assumptions!$B$43</f>
        <v>1082.66666666667</v>
      </c>
      <c r="M22" s="21" t="n">
        <f aca="false">MAX(0,AC22-Assumptions!$B$46)/1000*Assumptions!$B$38+MAX(0,AD22-Assumptions!$B$46)/1000*Assumptions!$B$39+MAX(0,AE22-Assumptions!$B$46)/1000*Assumptions!$B$40+MAX(0,AF22-Assumptions!$B$46)/1000*Assumptions!$B$41+MAX(0,AG22-Assumptions!$B$46)/1000*Assumptions!$B$42</f>
        <v>1745.55555555556</v>
      </c>
      <c r="N22" s="21" t="n">
        <f aca="false">CHOOSE(Assumptions!$B$10,K22,L22,M22)</f>
        <v>1082.66666666667</v>
      </c>
      <c r="O22" s="21" t="n">
        <f aca="false">IF(D22&gt;Assumptions!$B$52,Assumptions!$B$51,Assumptions!$B$50)</f>
        <v>45</v>
      </c>
      <c r="P22" s="21" t="n">
        <f aca="false">Assumptions!$B$53</f>
        <v>200</v>
      </c>
      <c r="Q22" s="21" t="n">
        <f aca="false">N22+O22+P22</f>
        <v>1327.66666666667</v>
      </c>
      <c r="R22" s="22" t="n">
        <f aca="false">J22-Q22</f>
        <v>4181.91666666667</v>
      </c>
      <c r="S22" s="23" t="n">
        <f aca="false">S21+R22</f>
        <v>42728.1111111111</v>
      </c>
      <c r="U22" s="24" t="n">
        <f aca="false">IF($A22&gt;=Assumptions!$B$14,MIN(Assumptions!$B$5,Assumptions!$B$5*($A22-Assumptions!$B$14+1)/Assumptions!$B$6),0)</f>
        <v>5000</v>
      </c>
      <c r="V22" s="24" t="n">
        <f aca="false">IF($A22&gt;=Assumptions!$B$15,MIN(Assumptions!$B$5,Assumptions!$B$5*($A22-Assumptions!$B$15+1)/Assumptions!$B$6),0)</f>
        <v>3611.11111111111</v>
      </c>
      <c r="W22" s="24" t="n">
        <f aca="false">IF($A22&gt;=Assumptions!$B$16,MIN(Assumptions!$B$5,Assumptions!$B$5*($A22-Assumptions!$B$16+1)/Assumptions!$B$6),0)</f>
        <v>1111.11111111111</v>
      </c>
      <c r="X22" s="24" t="n">
        <f aca="false">IF($A22&gt;=Assumptions!$B$17,MIN(Assumptions!$B$5,Assumptions!$B$5*($A22-Assumptions!$B$17+1)/Assumptions!$B$6),0)</f>
        <v>0</v>
      </c>
      <c r="Y22" s="24" t="n">
        <f aca="false">IF($A22&gt;=Assumptions!$B$14,Assumptions!$B$7*MIN(1,($A22-Assumptions!$B$14+1)/Assumptions!$B$8),0)</f>
        <v>25</v>
      </c>
      <c r="Z22" s="24" t="n">
        <f aca="false">IF($A22&gt;=Assumptions!$B$15,Assumptions!$B$7*MIN(1,($A22-Assumptions!$B$15+1)/Assumptions!$B$8),0)</f>
        <v>25</v>
      </c>
      <c r="AA22" s="24" t="n">
        <f aca="false">IF($A22&gt;=Assumptions!$B$16,Assumptions!$B$7*MIN(1,($A22-Assumptions!$B$16+1)/Assumptions!$B$8),0)</f>
        <v>8.33333333333333</v>
      </c>
      <c r="AB22" s="24" t="n">
        <f aca="false">IF($A22&gt;=Assumptions!$B$17,Assumptions!$B$7*MIN(1,($A22-Assumptions!$B$17+1)/Assumptions!$B$8),0)</f>
        <v>0</v>
      </c>
      <c r="AC22" s="24" t="n">
        <f aca="false">D22*Assumptions!$B$21</f>
        <v>77777.7777777778</v>
      </c>
      <c r="AD22" s="24" t="n">
        <f aca="false">D22*Assumptions!$B$22</f>
        <v>48611.1111111111</v>
      </c>
      <c r="AE22" s="24" t="n">
        <f aca="false">D22*Assumptions!$B$23</f>
        <v>29166.6666666667</v>
      </c>
      <c r="AF22" s="24" t="n">
        <f aca="false">D22*Assumptions!$B$24</f>
        <v>19444.4444444444</v>
      </c>
      <c r="AG22" s="24" t="n">
        <f aca="false">D22*Assumptions!$B$25</f>
        <v>58333.3333333333</v>
      </c>
      <c r="AH22" s="24" t="n">
        <f aca="false">IF(AND(R22&gt;=0,R21&lt;0),A22,0)</f>
        <v>0</v>
      </c>
      <c r="AI22" s="24" t="n">
        <f aca="false">IF(AND(S22&gt;=0,S21&lt;0),A22,0)</f>
        <v>0</v>
      </c>
    </row>
    <row r="23" customFormat="false" ht="15" hidden="false" customHeight="false" outlineLevel="0" collapsed="false">
      <c r="A23" s="18" t="n">
        <v>22</v>
      </c>
      <c r="B23" s="18" t="s">
        <v>128</v>
      </c>
      <c r="C23" s="19" t="n">
        <f aca="false">SUMPRODUCT(--(Assumptions!$B$14:$B$17&lt;=$A23))</f>
        <v>3</v>
      </c>
      <c r="D23" s="20" t="n">
        <f aca="false">SUM(U23:X23)</f>
        <v>10277.7777777778</v>
      </c>
      <c r="E23" s="20" t="n">
        <f aca="false">SUM(Y23:AB23)</f>
        <v>60.4166666666667</v>
      </c>
      <c r="F23" s="21" t="n">
        <f aca="false">E23*Assumptions!$B$9</f>
        <v>3564.58333333333</v>
      </c>
      <c r="G23" s="21" t="n">
        <f aca="false">D23*Assumptions!$B$29*Assumptions!$B$30*Assumptions!$B$31</f>
        <v>1110</v>
      </c>
      <c r="H23" s="21" t="n">
        <f aca="false">D23*Assumptions!$B$32*Assumptions!$B$33</f>
        <v>1076.08333333333</v>
      </c>
      <c r="I23" s="21" t="n">
        <f aca="false">D23*Assumptions!$B$26*Assumptions!$B$34/1000*Assumptions!$B$11</f>
        <v>0</v>
      </c>
      <c r="J23" s="21" t="n">
        <f aca="false">SUM(F23:I23)</f>
        <v>5750.66666666667</v>
      </c>
      <c r="K23" s="21" t="n">
        <f aca="false">MAX(0,(AC23+AD23+AE23+AF23+AG23)-Assumptions!$B$47)/1000*Assumptions!$B$43</f>
        <v>173.333333333333</v>
      </c>
      <c r="L23" s="21" t="n">
        <f aca="false">MAX(0,AD23-Assumptions!$B$46)/1000*Assumptions!$B$39+MAX(0,AE23-Assumptions!$B$46)/1000*Assumptions!$B$40+MAX(0,(AC23+AF23+AG23)-Assumptions!$B$47)/1000*Assumptions!$B$43</f>
        <v>1165.33333333333</v>
      </c>
      <c r="M23" s="21" t="n">
        <f aca="false">MAX(0,AC23-Assumptions!$B$46)/1000*Assumptions!$B$38+MAX(0,AD23-Assumptions!$B$46)/1000*Assumptions!$B$39+MAX(0,AE23-Assumptions!$B$46)/1000*Assumptions!$B$40+MAX(0,AF23-Assumptions!$B$46)/1000*Assumptions!$B$41+MAX(0,AG23-Assumptions!$B$46)/1000*Assumptions!$B$42</f>
        <v>1874.44444444444</v>
      </c>
      <c r="N23" s="21" t="n">
        <f aca="false">CHOOSE(Assumptions!$B$10,K23,L23,M23)</f>
        <v>1165.33333333333</v>
      </c>
      <c r="O23" s="21" t="n">
        <f aca="false">IF(D23&gt;Assumptions!$B$52,Assumptions!$B$51,Assumptions!$B$50)</f>
        <v>45</v>
      </c>
      <c r="P23" s="21" t="n">
        <f aca="false">Assumptions!$B$53</f>
        <v>200</v>
      </c>
      <c r="Q23" s="21" t="n">
        <f aca="false">N23+O23+P23</f>
        <v>1410.33333333333</v>
      </c>
      <c r="R23" s="22" t="n">
        <f aca="false">J23-Q23</f>
        <v>4340.33333333333</v>
      </c>
      <c r="S23" s="23" t="n">
        <f aca="false">S22+R23</f>
        <v>47068.4444444444</v>
      </c>
      <c r="U23" s="24" t="n">
        <f aca="false">IF($A23&gt;=Assumptions!$B$14,MIN(Assumptions!$B$5,Assumptions!$B$5*($A23-Assumptions!$B$14+1)/Assumptions!$B$6),0)</f>
        <v>5000</v>
      </c>
      <c r="V23" s="24" t="n">
        <f aca="false">IF($A23&gt;=Assumptions!$B$15,MIN(Assumptions!$B$5,Assumptions!$B$5*($A23-Assumptions!$B$15+1)/Assumptions!$B$6),0)</f>
        <v>3888.88888888889</v>
      </c>
      <c r="W23" s="24" t="n">
        <f aca="false">IF($A23&gt;=Assumptions!$B$16,MIN(Assumptions!$B$5,Assumptions!$B$5*($A23-Assumptions!$B$16+1)/Assumptions!$B$6),0)</f>
        <v>1388.88888888889</v>
      </c>
      <c r="X23" s="24" t="n">
        <f aca="false">IF($A23&gt;=Assumptions!$B$17,MIN(Assumptions!$B$5,Assumptions!$B$5*($A23-Assumptions!$B$17+1)/Assumptions!$B$6),0)</f>
        <v>0</v>
      </c>
      <c r="Y23" s="24" t="n">
        <f aca="false">IF($A23&gt;=Assumptions!$B$14,Assumptions!$B$7*MIN(1,($A23-Assumptions!$B$14+1)/Assumptions!$B$8),0)</f>
        <v>25</v>
      </c>
      <c r="Z23" s="24" t="n">
        <f aca="false">IF($A23&gt;=Assumptions!$B$15,Assumptions!$B$7*MIN(1,($A23-Assumptions!$B$15+1)/Assumptions!$B$8),0)</f>
        <v>25</v>
      </c>
      <c r="AA23" s="24" t="n">
        <f aca="false">IF($A23&gt;=Assumptions!$B$16,Assumptions!$B$7*MIN(1,($A23-Assumptions!$B$16+1)/Assumptions!$B$8),0)</f>
        <v>10.4166666666667</v>
      </c>
      <c r="AB23" s="24" t="n">
        <f aca="false">IF($A23&gt;=Assumptions!$B$17,Assumptions!$B$7*MIN(1,($A23-Assumptions!$B$17+1)/Assumptions!$B$8),0)</f>
        <v>0</v>
      </c>
      <c r="AC23" s="24" t="n">
        <f aca="false">D23*Assumptions!$B$21</f>
        <v>82222.2222222222</v>
      </c>
      <c r="AD23" s="24" t="n">
        <f aca="false">D23*Assumptions!$B$22</f>
        <v>51388.8888888889</v>
      </c>
      <c r="AE23" s="24" t="n">
        <f aca="false">D23*Assumptions!$B$23</f>
        <v>30833.3333333333</v>
      </c>
      <c r="AF23" s="24" t="n">
        <f aca="false">D23*Assumptions!$B$24</f>
        <v>20555.5555555556</v>
      </c>
      <c r="AG23" s="24" t="n">
        <f aca="false">D23*Assumptions!$B$25</f>
        <v>61666.6666666667</v>
      </c>
      <c r="AH23" s="24" t="n">
        <f aca="false">IF(AND(R23&gt;=0,R22&lt;0),A23,0)</f>
        <v>0</v>
      </c>
      <c r="AI23" s="24" t="n">
        <f aca="false">IF(AND(S23&gt;=0,S22&lt;0),A23,0)</f>
        <v>0</v>
      </c>
    </row>
    <row r="24" customFormat="false" ht="15" hidden="false" customHeight="false" outlineLevel="0" collapsed="false">
      <c r="A24" s="18" t="n">
        <v>23</v>
      </c>
      <c r="B24" s="18" t="s">
        <v>129</v>
      </c>
      <c r="C24" s="19" t="n">
        <f aca="false">SUMPRODUCT(--(Assumptions!$B$14:$B$17&lt;=$A24))</f>
        <v>3</v>
      </c>
      <c r="D24" s="20" t="n">
        <f aca="false">SUM(U24:X24)</f>
        <v>10833.3333333333</v>
      </c>
      <c r="E24" s="20" t="n">
        <f aca="false">SUM(Y24:AB24)</f>
        <v>62.5</v>
      </c>
      <c r="F24" s="21" t="n">
        <f aca="false">E24*Assumptions!$B$9</f>
        <v>3687.5</v>
      </c>
      <c r="G24" s="21" t="n">
        <f aca="false">D24*Assumptions!$B$29*Assumptions!$B$30*Assumptions!$B$31</f>
        <v>1170</v>
      </c>
      <c r="H24" s="21" t="n">
        <f aca="false">D24*Assumptions!$B$32*Assumptions!$B$33</f>
        <v>1134.25</v>
      </c>
      <c r="I24" s="21" t="n">
        <f aca="false">D24*Assumptions!$B$26*Assumptions!$B$34/1000*Assumptions!$B$11</f>
        <v>0</v>
      </c>
      <c r="J24" s="21" t="n">
        <f aca="false">SUM(F24:I24)</f>
        <v>5991.75</v>
      </c>
      <c r="K24" s="21" t="n">
        <f aca="false">MAX(0,(AC24+AD24+AE24+AF24+AG24)-Assumptions!$B$47)/1000*Assumptions!$B$43</f>
        <v>184</v>
      </c>
      <c r="L24" s="21" t="n">
        <f aca="false">MAX(0,AD24-Assumptions!$B$46)/1000*Assumptions!$B$39+MAX(0,AE24-Assumptions!$B$46)/1000*Assumptions!$B$40+MAX(0,(AC24+AF24+AG24)-Assumptions!$B$47)/1000*Assumptions!$B$43</f>
        <v>1248</v>
      </c>
      <c r="M24" s="21" t="n">
        <f aca="false">MAX(0,AC24-Assumptions!$B$46)/1000*Assumptions!$B$38+MAX(0,AD24-Assumptions!$B$46)/1000*Assumptions!$B$39+MAX(0,AE24-Assumptions!$B$46)/1000*Assumptions!$B$40+MAX(0,AF24-Assumptions!$B$46)/1000*Assumptions!$B$41+MAX(0,AG24-Assumptions!$B$46)/1000*Assumptions!$B$42</f>
        <v>2003.33333333333</v>
      </c>
      <c r="N24" s="21" t="n">
        <f aca="false">CHOOSE(Assumptions!$B$10,K24,L24,M24)</f>
        <v>1248</v>
      </c>
      <c r="O24" s="21" t="n">
        <f aca="false">IF(D24&gt;Assumptions!$B$52,Assumptions!$B$51,Assumptions!$B$50)</f>
        <v>45</v>
      </c>
      <c r="P24" s="21" t="n">
        <f aca="false">Assumptions!$B$53</f>
        <v>200</v>
      </c>
      <c r="Q24" s="21" t="n">
        <f aca="false">N24+O24+P24</f>
        <v>1493</v>
      </c>
      <c r="R24" s="22" t="n">
        <f aca="false">J24-Q24</f>
        <v>4498.75</v>
      </c>
      <c r="S24" s="23" t="n">
        <f aca="false">S23+R24</f>
        <v>51567.1944444444</v>
      </c>
      <c r="U24" s="24" t="n">
        <f aca="false">IF($A24&gt;=Assumptions!$B$14,MIN(Assumptions!$B$5,Assumptions!$B$5*($A24-Assumptions!$B$14+1)/Assumptions!$B$6),0)</f>
        <v>5000</v>
      </c>
      <c r="V24" s="24" t="n">
        <f aca="false">IF($A24&gt;=Assumptions!$B$15,MIN(Assumptions!$B$5,Assumptions!$B$5*($A24-Assumptions!$B$15+1)/Assumptions!$B$6),0)</f>
        <v>4166.66666666667</v>
      </c>
      <c r="W24" s="24" t="n">
        <f aca="false">IF($A24&gt;=Assumptions!$B$16,MIN(Assumptions!$B$5,Assumptions!$B$5*($A24-Assumptions!$B$16+1)/Assumptions!$B$6),0)</f>
        <v>1666.66666666667</v>
      </c>
      <c r="X24" s="24" t="n">
        <f aca="false">IF($A24&gt;=Assumptions!$B$17,MIN(Assumptions!$B$5,Assumptions!$B$5*($A24-Assumptions!$B$17+1)/Assumptions!$B$6),0)</f>
        <v>0</v>
      </c>
      <c r="Y24" s="24" t="n">
        <f aca="false">IF($A24&gt;=Assumptions!$B$14,Assumptions!$B$7*MIN(1,($A24-Assumptions!$B$14+1)/Assumptions!$B$8),0)</f>
        <v>25</v>
      </c>
      <c r="Z24" s="24" t="n">
        <f aca="false">IF($A24&gt;=Assumptions!$B$15,Assumptions!$B$7*MIN(1,($A24-Assumptions!$B$15+1)/Assumptions!$B$8),0)</f>
        <v>25</v>
      </c>
      <c r="AA24" s="24" t="n">
        <f aca="false">IF($A24&gt;=Assumptions!$B$16,Assumptions!$B$7*MIN(1,($A24-Assumptions!$B$16+1)/Assumptions!$B$8),0)</f>
        <v>12.5</v>
      </c>
      <c r="AB24" s="24" t="n">
        <f aca="false">IF($A24&gt;=Assumptions!$B$17,Assumptions!$B$7*MIN(1,($A24-Assumptions!$B$17+1)/Assumptions!$B$8),0)</f>
        <v>0</v>
      </c>
      <c r="AC24" s="24" t="n">
        <f aca="false">D24*Assumptions!$B$21</f>
        <v>86666.6666666667</v>
      </c>
      <c r="AD24" s="24" t="n">
        <f aca="false">D24*Assumptions!$B$22</f>
        <v>54166.6666666667</v>
      </c>
      <c r="AE24" s="24" t="n">
        <f aca="false">D24*Assumptions!$B$23</f>
        <v>32500</v>
      </c>
      <c r="AF24" s="24" t="n">
        <f aca="false">D24*Assumptions!$B$24</f>
        <v>21666.6666666667</v>
      </c>
      <c r="AG24" s="24" t="n">
        <f aca="false">D24*Assumptions!$B$25</f>
        <v>65000</v>
      </c>
      <c r="AH24" s="24" t="n">
        <f aca="false">IF(AND(R24&gt;=0,R23&lt;0),A24,0)</f>
        <v>0</v>
      </c>
      <c r="AI24" s="24" t="n">
        <f aca="false">IF(AND(S24&gt;=0,S23&lt;0),A24,0)</f>
        <v>0</v>
      </c>
    </row>
    <row r="25" customFormat="false" ht="15" hidden="false" customHeight="false" outlineLevel="0" collapsed="false">
      <c r="A25" s="18" t="n">
        <v>24</v>
      </c>
      <c r="B25" s="18" t="s">
        <v>130</v>
      </c>
      <c r="C25" s="19" t="n">
        <f aca="false">SUMPRODUCT(--(Assumptions!$B$14:$B$17&lt;=$A25))</f>
        <v>3</v>
      </c>
      <c r="D25" s="20" t="n">
        <f aca="false">SUM(U25:X25)</f>
        <v>11388.8888888889</v>
      </c>
      <c r="E25" s="20" t="n">
        <f aca="false">SUM(Y25:AB25)</f>
        <v>64.5833333333333</v>
      </c>
      <c r="F25" s="21" t="n">
        <f aca="false">E25*Assumptions!$B$9</f>
        <v>3810.41666666667</v>
      </c>
      <c r="G25" s="21" t="n">
        <f aca="false">D25*Assumptions!$B$29*Assumptions!$B$30*Assumptions!$B$31</f>
        <v>1230</v>
      </c>
      <c r="H25" s="21" t="n">
        <f aca="false">D25*Assumptions!$B$32*Assumptions!$B$33</f>
        <v>1192.41666666667</v>
      </c>
      <c r="I25" s="21" t="n">
        <f aca="false">D25*Assumptions!$B$26*Assumptions!$B$34/1000*Assumptions!$B$11</f>
        <v>0</v>
      </c>
      <c r="J25" s="21" t="n">
        <f aca="false">SUM(F25:I25)</f>
        <v>6232.83333333333</v>
      </c>
      <c r="K25" s="21" t="n">
        <f aca="false">MAX(0,(AC25+AD25+AE25+AF25+AG25)-Assumptions!$B$47)/1000*Assumptions!$B$43</f>
        <v>194.666666666667</v>
      </c>
      <c r="L25" s="21" t="n">
        <f aca="false">MAX(0,AD25-Assumptions!$B$46)/1000*Assumptions!$B$39+MAX(0,AE25-Assumptions!$B$46)/1000*Assumptions!$B$40+MAX(0,(AC25+AF25+AG25)-Assumptions!$B$47)/1000*Assumptions!$B$43</f>
        <v>1330.66666666667</v>
      </c>
      <c r="M25" s="21" t="n">
        <f aca="false">MAX(0,AC25-Assumptions!$B$46)/1000*Assumptions!$B$38+MAX(0,AD25-Assumptions!$B$46)/1000*Assumptions!$B$39+MAX(0,AE25-Assumptions!$B$46)/1000*Assumptions!$B$40+MAX(0,AF25-Assumptions!$B$46)/1000*Assumptions!$B$41+MAX(0,AG25-Assumptions!$B$46)/1000*Assumptions!$B$42</f>
        <v>2132.22222222222</v>
      </c>
      <c r="N25" s="21" t="n">
        <f aca="false">CHOOSE(Assumptions!$B$10,K25,L25,M25)</f>
        <v>1330.66666666667</v>
      </c>
      <c r="O25" s="21" t="n">
        <f aca="false">IF(D25&gt;Assumptions!$B$52,Assumptions!$B$51,Assumptions!$B$50)</f>
        <v>45</v>
      </c>
      <c r="P25" s="21" t="n">
        <f aca="false">Assumptions!$B$53</f>
        <v>200</v>
      </c>
      <c r="Q25" s="21" t="n">
        <f aca="false">N25+O25+P25</f>
        <v>1575.66666666667</v>
      </c>
      <c r="R25" s="22" t="n">
        <f aca="false">J25-Q25</f>
        <v>4657.16666666667</v>
      </c>
      <c r="S25" s="23" t="n">
        <f aca="false">S24+R25</f>
        <v>56224.3611111111</v>
      </c>
      <c r="U25" s="24" t="n">
        <f aca="false">IF($A25&gt;=Assumptions!$B$14,MIN(Assumptions!$B$5,Assumptions!$B$5*($A25-Assumptions!$B$14+1)/Assumptions!$B$6),0)</f>
        <v>5000</v>
      </c>
      <c r="V25" s="24" t="n">
        <f aca="false">IF($A25&gt;=Assumptions!$B$15,MIN(Assumptions!$B$5,Assumptions!$B$5*($A25-Assumptions!$B$15+1)/Assumptions!$B$6),0)</f>
        <v>4444.44444444444</v>
      </c>
      <c r="W25" s="24" t="n">
        <f aca="false">IF($A25&gt;=Assumptions!$B$16,MIN(Assumptions!$B$5,Assumptions!$B$5*($A25-Assumptions!$B$16+1)/Assumptions!$B$6),0)</f>
        <v>1944.44444444444</v>
      </c>
      <c r="X25" s="24" t="n">
        <f aca="false">IF($A25&gt;=Assumptions!$B$17,MIN(Assumptions!$B$5,Assumptions!$B$5*($A25-Assumptions!$B$17+1)/Assumptions!$B$6),0)</f>
        <v>0</v>
      </c>
      <c r="Y25" s="24" t="n">
        <f aca="false">IF($A25&gt;=Assumptions!$B$14,Assumptions!$B$7*MIN(1,($A25-Assumptions!$B$14+1)/Assumptions!$B$8),0)</f>
        <v>25</v>
      </c>
      <c r="Z25" s="24" t="n">
        <f aca="false">IF($A25&gt;=Assumptions!$B$15,Assumptions!$B$7*MIN(1,($A25-Assumptions!$B$15+1)/Assumptions!$B$8),0)</f>
        <v>25</v>
      </c>
      <c r="AA25" s="24" t="n">
        <f aca="false">IF($A25&gt;=Assumptions!$B$16,Assumptions!$B$7*MIN(1,($A25-Assumptions!$B$16+1)/Assumptions!$B$8),0)</f>
        <v>14.5833333333333</v>
      </c>
      <c r="AB25" s="24" t="n">
        <f aca="false">IF($A25&gt;=Assumptions!$B$17,Assumptions!$B$7*MIN(1,($A25-Assumptions!$B$17+1)/Assumptions!$B$8),0)</f>
        <v>0</v>
      </c>
      <c r="AC25" s="24" t="n">
        <f aca="false">D25*Assumptions!$B$21</f>
        <v>91111.1111111111</v>
      </c>
      <c r="AD25" s="24" t="n">
        <f aca="false">D25*Assumptions!$B$22</f>
        <v>56944.4444444444</v>
      </c>
      <c r="AE25" s="24" t="n">
        <f aca="false">D25*Assumptions!$B$23</f>
        <v>34166.6666666667</v>
      </c>
      <c r="AF25" s="24" t="n">
        <f aca="false">D25*Assumptions!$B$24</f>
        <v>22777.7777777778</v>
      </c>
      <c r="AG25" s="24" t="n">
        <f aca="false">D25*Assumptions!$B$25</f>
        <v>68333.3333333333</v>
      </c>
      <c r="AH25" s="24" t="n">
        <f aca="false">IF(AND(R25&gt;=0,R24&lt;0),A25,0)</f>
        <v>0</v>
      </c>
      <c r="AI25" s="24" t="n">
        <f aca="false">IF(AND(S25&gt;=0,S24&lt;0),A25,0)</f>
        <v>0</v>
      </c>
    </row>
    <row r="26" customFormat="false" ht="15" hidden="false" customHeight="false" outlineLevel="0" collapsed="false">
      <c r="A26" s="18" t="n">
        <v>25</v>
      </c>
      <c r="B26" s="18" t="s">
        <v>131</v>
      </c>
      <c r="C26" s="19" t="n">
        <f aca="false">SUMPRODUCT(--(Assumptions!$B$14:$B$17&lt;=$A26))</f>
        <v>3</v>
      </c>
      <c r="D26" s="20" t="n">
        <f aca="false">SUM(U26:X26)</f>
        <v>11944.4444444444</v>
      </c>
      <c r="E26" s="20" t="n">
        <f aca="false">SUM(Y26:AB26)</f>
        <v>66.6666666666667</v>
      </c>
      <c r="F26" s="21" t="n">
        <f aca="false">E26*Assumptions!$B$9</f>
        <v>3933.33333333333</v>
      </c>
      <c r="G26" s="21" t="n">
        <f aca="false">D26*Assumptions!$B$29*Assumptions!$B$30*Assumptions!$B$31</f>
        <v>1290</v>
      </c>
      <c r="H26" s="21" t="n">
        <f aca="false">D26*Assumptions!$B$32*Assumptions!$B$33</f>
        <v>1250.58333333333</v>
      </c>
      <c r="I26" s="21" t="n">
        <f aca="false">D26*Assumptions!$B$26*Assumptions!$B$34/1000*Assumptions!$B$11</f>
        <v>0</v>
      </c>
      <c r="J26" s="21" t="n">
        <f aca="false">SUM(F26:I26)</f>
        <v>6473.91666666667</v>
      </c>
      <c r="K26" s="21" t="n">
        <f aca="false">MAX(0,(AC26+AD26+AE26+AF26+AG26)-Assumptions!$B$47)/1000*Assumptions!$B$43</f>
        <v>205.333333333333</v>
      </c>
      <c r="L26" s="21" t="n">
        <f aca="false">MAX(0,AD26-Assumptions!$B$46)/1000*Assumptions!$B$39+MAX(0,AE26-Assumptions!$B$46)/1000*Assumptions!$B$40+MAX(0,(AC26+AF26+AG26)-Assumptions!$B$47)/1000*Assumptions!$B$43</f>
        <v>1413.33333333333</v>
      </c>
      <c r="M26" s="21" t="n">
        <f aca="false">MAX(0,AC26-Assumptions!$B$46)/1000*Assumptions!$B$38+MAX(0,AD26-Assumptions!$B$46)/1000*Assumptions!$B$39+MAX(0,AE26-Assumptions!$B$46)/1000*Assumptions!$B$40+MAX(0,AF26-Assumptions!$B$46)/1000*Assumptions!$B$41+MAX(0,AG26-Assumptions!$B$46)/1000*Assumptions!$B$42</f>
        <v>2261.11111111111</v>
      </c>
      <c r="N26" s="21" t="n">
        <f aca="false">CHOOSE(Assumptions!$B$10,K26,L26,M26)</f>
        <v>1413.33333333333</v>
      </c>
      <c r="O26" s="21" t="n">
        <f aca="false">IF(D26&gt;Assumptions!$B$52,Assumptions!$B$51,Assumptions!$B$50)</f>
        <v>45</v>
      </c>
      <c r="P26" s="21" t="n">
        <f aca="false">Assumptions!$B$53</f>
        <v>200</v>
      </c>
      <c r="Q26" s="21" t="n">
        <f aca="false">N26+O26+P26</f>
        <v>1658.33333333333</v>
      </c>
      <c r="R26" s="22" t="n">
        <f aca="false">J26-Q26</f>
        <v>4815.58333333333</v>
      </c>
      <c r="S26" s="23" t="n">
        <f aca="false">S25+R26</f>
        <v>61039.9444444444</v>
      </c>
      <c r="U26" s="24" t="n">
        <f aca="false">IF($A26&gt;=Assumptions!$B$14,MIN(Assumptions!$B$5,Assumptions!$B$5*($A26-Assumptions!$B$14+1)/Assumptions!$B$6),0)</f>
        <v>5000</v>
      </c>
      <c r="V26" s="24" t="n">
        <f aca="false">IF($A26&gt;=Assumptions!$B$15,MIN(Assumptions!$B$5,Assumptions!$B$5*($A26-Assumptions!$B$15+1)/Assumptions!$B$6),0)</f>
        <v>4722.22222222222</v>
      </c>
      <c r="W26" s="24" t="n">
        <f aca="false">IF($A26&gt;=Assumptions!$B$16,MIN(Assumptions!$B$5,Assumptions!$B$5*($A26-Assumptions!$B$16+1)/Assumptions!$B$6),0)</f>
        <v>2222.22222222222</v>
      </c>
      <c r="X26" s="24" t="n">
        <f aca="false">IF($A26&gt;=Assumptions!$B$17,MIN(Assumptions!$B$5,Assumptions!$B$5*($A26-Assumptions!$B$17+1)/Assumptions!$B$6),0)</f>
        <v>0</v>
      </c>
      <c r="Y26" s="24" t="n">
        <f aca="false">IF($A26&gt;=Assumptions!$B$14,Assumptions!$B$7*MIN(1,($A26-Assumptions!$B$14+1)/Assumptions!$B$8),0)</f>
        <v>25</v>
      </c>
      <c r="Z26" s="24" t="n">
        <f aca="false">IF($A26&gt;=Assumptions!$B$15,Assumptions!$B$7*MIN(1,($A26-Assumptions!$B$15+1)/Assumptions!$B$8),0)</f>
        <v>25</v>
      </c>
      <c r="AA26" s="24" t="n">
        <f aca="false">IF($A26&gt;=Assumptions!$B$16,Assumptions!$B$7*MIN(1,($A26-Assumptions!$B$16+1)/Assumptions!$B$8),0)</f>
        <v>16.6666666666667</v>
      </c>
      <c r="AB26" s="24" t="n">
        <f aca="false">IF($A26&gt;=Assumptions!$B$17,Assumptions!$B$7*MIN(1,($A26-Assumptions!$B$17+1)/Assumptions!$B$8),0)</f>
        <v>0</v>
      </c>
      <c r="AC26" s="24" t="n">
        <f aca="false">D26*Assumptions!$B$21</f>
        <v>95555.5555555556</v>
      </c>
      <c r="AD26" s="24" t="n">
        <f aca="false">D26*Assumptions!$B$22</f>
        <v>59722.2222222222</v>
      </c>
      <c r="AE26" s="24" t="n">
        <f aca="false">D26*Assumptions!$B$23</f>
        <v>35833.3333333333</v>
      </c>
      <c r="AF26" s="24" t="n">
        <f aca="false">D26*Assumptions!$B$24</f>
        <v>23888.8888888889</v>
      </c>
      <c r="AG26" s="24" t="n">
        <f aca="false">D26*Assumptions!$B$25</f>
        <v>71666.6666666667</v>
      </c>
      <c r="AH26" s="24" t="n">
        <f aca="false">IF(AND(R26&gt;=0,R25&lt;0),A26,0)</f>
        <v>0</v>
      </c>
      <c r="AI26" s="24" t="n">
        <f aca="false">IF(AND(S26&gt;=0,S25&lt;0),A26,0)</f>
        <v>0</v>
      </c>
    </row>
    <row r="27" customFormat="false" ht="15" hidden="false" customHeight="false" outlineLevel="0" collapsed="false">
      <c r="A27" s="18" t="n">
        <v>26</v>
      </c>
      <c r="B27" s="18" t="s">
        <v>132</v>
      </c>
      <c r="C27" s="19" t="n">
        <f aca="false">SUMPRODUCT(--(Assumptions!$B$14:$B$17&lt;=$A27))</f>
        <v>3</v>
      </c>
      <c r="D27" s="20" t="n">
        <f aca="false">SUM(U27:X27)</f>
        <v>12500</v>
      </c>
      <c r="E27" s="20" t="n">
        <f aca="false">SUM(Y27:AB27)</f>
        <v>68.75</v>
      </c>
      <c r="F27" s="21" t="n">
        <f aca="false">E27*Assumptions!$B$9</f>
        <v>4056.25</v>
      </c>
      <c r="G27" s="21" t="n">
        <f aca="false">D27*Assumptions!$B$29*Assumptions!$B$30*Assumptions!$B$31</f>
        <v>1350</v>
      </c>
      <c r="H27" s="21" t="n">
        <f aca="false">D27*Assumptions!$B$32*Assumptions!$B$33</f>
        <v>1308.75</v>
      </c>
      <c r="I27" s="21" t="n">
        <f aca="false">D27*Assumptions!$B$26*Assumptions!$B$34/1000*Assumptions!$B$11</f>
        <v>0</v>
      </c>
      <c r="J27" s="21" t="n">
        <f aca="false">SUM(F27:I27)</f>
        <v>6715</v>
      </c>
      <c r="K27" s="21" t="n">
        <f aca="false">MAX(0,(AC27+AD27+AE27+AF27+AG27)-Assumptions!$B$47)/1000*Assumptions!$B$43</f>
        <v>216</v>
      </c>
      <c r="L27" s="21" t="n">
        <f aca="false">MAX(0,AD27-Assumptions!$B$46)/1000*Assumptions!$B$39+MAX(0,AE27-Assumptions!$B$46)/1000*Assumptions!$B$40+MAX(0,(AC27+AF27+AG27)-Assumptions!$B$47)/1000*Assumptions!$B$43</f>
        <v>1496</v>
      </c>
      <c r="M27" s="21" t="n">
        <f aca="false">MAX(0,AC27-Assumptions!$B$46)/1000*Assumptions!$B$38+MAX(0,AD27-Assumptions!$B$46)/1000*Assumptions!$B$39+MAX(0,AE27-Assumptions!$B$46)/1000*Assumptions!$B$40+MAX(0,AF27-Assumptions!$B$46)/1000*Assumptions!$B$41+MAX(0,AG27-Assumptions!$B$46)/1000*Assumptions!$B$42</f>
        <v>2390</v>
      </c>
      <c r="N27" s="21" t="n">
        <f aca="false">CHOOSE(Assumptions!$B$10,K27,L27,M27)</f>
        <v>1496</v>
      </c>
      <c r="O27" s="21" t="n">
        <f aca="false">IF(D27&gt;Assumptions!$B$52,Assumptions!$B$51,Assumptions!$B$50)</f>
        <v>45</v>
      </c>
      <c r="P27" s="21" t="n">
        <f aca="false">Assumptions!$B$53</f>
        <v>200</v>
      </c>
      <c r="Q27" s="21" t="n">
        <f aca="false">N27+O27+P27</f>
        <v>1741</v>
      </c>
      <c r="R27" s="22" t="n">
        <f aca="false">J27-Q27</f>
        <v>4974</v>
      </c>
      <c r="S27" s="23" t="n">
        <f aca="false">S26+R27</f>
        <v>66013.9444444444</v>
      </c>
      <c r="U27" s="24" t="n">
        <f aca="false">IF($A27&gt;=Assumptions!$B$14,MIN(Assumptions!$B$5,Assumptions!$B$5*($A27-Assumptions!$B$14+1)/Assumptions!$B$6),0)</f>
        <v>5000</v>
      </c>
      <c r="V27" s="24" t="n">
        <f aca="false">IF($A27&gt;=Assumptions!$B$15,MIN(Assumptions!$B$5,Assumptions!$B$5*($A27-Assumptions!$B$15+1)/Assumptions!$B$6),0)</f>
        <v>5000</v>
      </c>
      <c r="W27" s="24" t="n">
        <f aca="false">IF($A27&gt;=Assumptions!$B$16,MIN(Assumptions!$B$5,Assumptions!$B$5*($A27-Assumptions!$B$16+1)/Assumptions!$B$6),0)</f>
        <v>2500</v>
      </c>
      <c r="X27" s="24" t="n">
        <f aca="false">IF($A27&gt;=Assumptions!$B$17,MIN(Assumptions!$B$5,Assumptions!$B$5*($A27-Assumptions!$B$17+1)/Assumptions!$B$6),0)</f>
        <v>0</v>
      </c>
      <c r="Y27" s="24" t="n">
        <f aca="false">IF($A27&gt;=Assumptions!$B$14,Assumptions!$B$7*MIN(1,($A27-Assumptions!$B$14+1)/Assumptions!$B$8),0)</f>
        <v>25</v>
      </c>
      <c r="Z27" s="24" t="n">
        <f aca="false">IF($A27&gt;=Assumptions!$B$15,Assumptions!$B$7*MIN(1,($A27-Assumptions!$B$15+1)/Assumptions!$B$8),0)</f>
        <v>25</v>
      </c>
      <c r="AA27" s="24" t="n">
        <f aca="false">IF($A27&gt;=Assumptions!$B$16,Assumptions!$B$7*MIN(1,($A27-Assumptions!$B$16+1)/Assumptions!$B$8),0)</f>
        <v>18.75</v>
      </c>
      <c r="AB27" s="24" t="n">
        <f aca="false">IF($A27&gt;=Assumptions!$B$17,Assumptions!$B$7*MIN(1,($A27-Assumptions!$B$17+1)/Assumptions!$B$8),0)</f>
        <v>0</v>
      </c>
      <c r="AC27" s="24" t="n">
        <f aca="false">D27*Assumptions!$B$21</f>
        <v>100000</v>
      </c>
      <c r="AD27" s="24" t="n">
        <f aca="false">D27*Assumptions!$B$22</f>
        <v>62500</v>
      </c>
      <c r="AE27" s="24" t="n">
        <f aca="false">D27*Assumptions!$B$23</f>
        <v>37500</v>
      </c>
      <c r="AF27" s="24" t="n">
        <f aca="false">D27*Assumptions!$B$24</f>
        <v>25000</v>
      </c>
      <c r="AG27" s="24" t="n">
        <f aca="false">D27*Assumptions!$B$25</f>
        <v>75000</v>
      </c>
      <c r="AH27" s="24" t="n">
        <f aca="false">IF(AND(R27&gt;=0,R26&lt;0),A27,0)</f>
        <v>0</v>
      </c>
      <c r="AI27" s="24" t="n">
        <f aca="false">IF(AND(S27&gt;=0,S26&lt;0),A27,0)</f>
        <v>0</v>
      </c>
    </row>
    <row r="28" customFormat="false" ht="15" hidden="false" customHeight="false" outlineLevel="0" collapsed="false">
      <c r="A28" s="18" t="n">
        <v>27</v>
      </c>
      <c r="B28" s="18" t="s">
        <v>133</v>
      </c>
      <c r="C28" s="19" t="n">
        <f aca="false">SUMPRODUCT(--(Assumptions!$B$14:$B$17&lt;=$A28))</f>
        <v>4</v>
      </c>
      <c r="D28" s="20" t="n">
        <f aca="false">SUM(U28:X28)</f>
        <v>13055.5555555556</v>
      </c>
      <c r="E28" s="20" t="n">
        <f aca="false">SUM(Y28:AB28)</f>
        <v>72.9166666666667</v>
      </c>
      <c r="F28" s="21" t="n">
        <f aca="false">E28*Assumptions!$B$9</f>
        <v>4302.08333333333</v>
      </c>
      <c r="G28" s="21" t="n">
        <f aca="false">D28*Assumptions!$B$29*Assumptions!$B$30*Assumptions!$B$31</f>
        <v>1410</v>
      </c>
      <c r="H28" s="21" t="n">
        <f aca="false">D28*Assumptions!$B$32*Assumptions!$B$33</f>
        <v>1366.91666666667</v>
      </c>
      <c r="I28" s="21" t="n">
        <f aca="false">D28*Assumptions!$B$26*Assumptions!$B$34/1000*Assumptions!$B$11</f>
        <v>0</v>
      </c>
      <c r="J28" s="21" t="n">
        <f aca="false">SUM(F28:I28)</f>
        <v>7079</v>
      </c>
      <c r="K28" s="21" t="n">
        <f aca="false">MAX(0,(AC28+AD28+AE28+AF28+AG28)-Assumptions!$B$47)/1000*Assumptions!$B$43</f>
        <v>226.666666666667</v>
      </c>
      <c r="L28" s="21" t="n">
        <f aca="false">MAX(0,AD28-Assumptions!$B$46)/1000*Assumptions!$B$39+MAX(0,AE28-Assumptions!$B$46)/1000*Assumptions!$B$40+MAX(0,(AC28+AF28+AG28)-Assumptions!$B$47)/1000*Assumptions!$B$43</f>
        <v>1578.66666666667</v>
      </c>
      <c r="M28" s="21" t="n">
        <f aca="false">MAX(0,AC28-Assumptions!$B$46)/1000*Assumptions!$B$38+MAX(0,AD28-Assumptions!$B$46)/1000*Assumptions!$B$39+MAX(0,AE28-Assumptions!$B$46)/1000*Assumptions!$B$40+MAX(0,AF28-Assumptions!$B$46)/1000*Assumptions!$B$41+MAX(0,AG28-Assumptions!$B$46)/1000*Assumptions!$B$42</f>
        <v>2518.88888888889</v>
      </c>
      <c r="N28" s="21" t="n">
        <f aca="false">CHOOSE(Assumptions!$B$10,K28,L28,M28)</f>
        <v>1578.66666666667</v>
      </c>
      <c r="O28" s="21" t="n">
        <f aca="false">IF(D28&gt;Assumptions!$B$52,Assumptions!$B$51,Assumptions!$B$50)</f>
        <v>45</v>
      </c>
      <c r="P28" s="21" t="n">
        <f aca="false">Assumptions!$B$53</f>
        <v>200</v>
      </c>
      <c r="Q28" s="21" t="n">
        <f aca="false">N28+O28+P28</f>
        <v>1823.66666666667</v>
      </c>
      <c r="R28" s="22" t="n">
        <f aca="false">J28-Q28</f>
        <v>5255.33333333333</v>
      </c>
      <c r="S28" s="23" t="n">
        <f aca="false">S27+R28</f>
        <v>71269.2777777778</v>
      </c>
      <c r="U28" s="24" t="n">
        <f aca="false">IF($A28&gt;=Assumptions!$B$14,MIN(Assumptions!$B$5,Assumptions!$B$5*($A28-Assumptions!$B$14+1)/Assumptions!$B$6),0)</f>
        <v>5000</v>
      </c>
      <c r="V28" s="24" t="n">
        <f aca="false">IF($A28&gt;=Assumptions!$B$15,MIN(Assumptions!$B$5,Assumptions!$B$5*($A28-Assumptions!$B$15+1)/Assumptions!$B$6),0)</f>
        <v>5000</v>
      </c>
      <c r="W28" s="24" t="n">
        <f aca="false">IF($A28&gt;=Assumptions!$B$16,MIN(Assumptions!$B$5,Assumptions!$B$5*($A28-Assumptions!$B$16+1)/Assumptions!$B$6),0)</f>
        <v>2777.77777777778</v>
      </c>
      <c r="X28" s="24" t="n">
        <f aca="false">IF($A28&gt;=Assumptions!$B$17,MIN(Assumptions!$B$5,Assumptions!$B$5*($A28-Assumptions!$B$17+1)/Assumptions!$B$6),0)</f>
        <v>277.777777777778</v>
      </c>
      <c r="Y28" s="24" t="n">
        <f aca="false">IF($A28&gt;=Assumptions!$B$14,Assumptions!$B$7*MIN(1,($A28-Assumptions!$B$14+1)/Assumptions!$B$8),0)</f>
        <v>25</v>
      </c>
      <c r="Z28" s="24" t="n">
        <f aca="false">IF($A28&gt;=Assumptions!$B$15,Assumptions!$B$7*MIN(1,($A28-Assumptions!$B$15+1)/Assumptions!$B$8),0)</f>
        <v>25</v>
      </c>
      <c r="AA28" s="24" t="n">
        <f aca="false">IF($A28&gt;=Assumptions!$B$16,Assumptions!$B$7*MIN(1,($A28-Assumptions!$B$16+1)/Assumptions!$B$8),0)</f>
        <v>20.8333333333333</v>
      </c>
      <c r="AB28" s="24" t="n">
        <f aca="false">IF($A28&gt;=Assumptions!$B$17,Assumptions!$B$7*MIN(1,($A28-Assumptions!$B$17+1)/Assumptions!$B$8),0)</f>
        <v>2.08333333333333</v>
      </c>
      <c r="AC28" s="24" t="n">
        <f aca="false">D28*Assumptions!$B$21</f>
        <v>104444.444444444</v>
      </c>
      <c r="AD28" s="24" t="n">
        <f aca="false">D28*Assumptions!$B$22</f>
        <v>65277.7777777778</v>
      </c>
      <c r="AE28" s="24" t="n">
        <f aca="false">D28*Assumptions!$B$23</f>
        <v>39166.6666666667</v>
      </c>
      <c r="AF28" s="24" t="n">
        <f aca="false">D28*Assumptions!$B$24</f>
        <v>26111.1111111111</v>
      </c>
      <c r="AG28" s="24" t="n">
        <f aca="false">D28*Assumptions!$B$25</f>
        <v>78333.3333333333</v>
      </c>
      <c r="AH28" s="24" t="n">
        <f aca="false">IF(AND(R28&gt;=0,R27&lt;0),A28,0)</f>
        <v>0</v>
      </c>
      <c r="AI28" s="24" t="n">
        <f aca="false">IF(AND(S28&gt;=0,S27&lt;0),A28,0)</f>
        <v>0</v>
      </c>
    </row>
    <row r="29" customFormat="false" ht="15" hidden="false" customHeight="false" outlineLevel="0" collapsed="false">
      <c r="A29" s="18" t="n">
        <v>28</v>
      </c>
      <c r="B29" s="18" t="s">
        <v>134</v>
      </c>
      <c r="C29" s="19" t="n">
        <f aca="false">SUMPRODUCT(--(Assumptions!$B$14:$B$17&lt;=$A29))</f>
        <v>4</v>
      </c>
      <c r="D29" s="20" t="n">
        <f aca="false">SUM(U29:X29)</f>
        <v>13611.1111111111</v>
      </c>
      <c r="E29" s="20" t="n">
        <f aca="false">SUM(Y29:AB29)</f>
        <v>77.0833333333333</v>
      </c>
      <c r="F29" s="21" t="n">
        <f aca="false">E29*Assumptions!$B$9</f>
        <v>4547.91666666667</v>
      </c>
      <c r="G29" s="21" t="n">
        <f aca="false">D29*Assumptions!$B$29*Assumptions!$B$30*Assumptions!$B$31</f>
        <v>1470</v>
      </c>
      <c r="H29" s="21" t="n">
        <f aca="false">D29*Assumptions!$B$32*Assumptions!$B$33</f>
        <v>1425.08333333333</v>
      </c>
      <c r="I29" s="21" t="n">
        <f aca="false">D29*Assumptions!$B$26*Assumptions!$B$34/1000*Assumptions!$B$11</f>
        <v>0</v>
      </c>
      <c r="J29" s="21" t="n">
        <f aca="false">SUM(F29:I29)</f>
        <v>7443</v>
      </c>
      <c r="K29" s="21" t="n">
        <f aca="false">MAX(0,(AC29+AD29+AE29+AF29+AG29)-Assumptions!$B$47)/1000*Assumptions!$B$43</f>
        <v>237.333333333333</v>
      </c>
      <c r="L29" s="21" t="n">
        <f aca="false">MAX(0,AD29-Assumptions!$B$46)/1000*Assumptions!$B$39+MAX(0,AE29-Assumptions!$B$46)/1000*Assumptions!$B$40+MAX(0,(AC29+AF29+AG29)-Assumptions!$B$47)/1000*Assumptions!$B$43</f>
        <v>1661.33333333333</v>
      </c>
      <c r="M29" s="21" t="n">
        <f aca="false">MAX(0,AC29-Assumptions!$B$46)/1000*Assumptions!$B$38+MAX(0,AD29-Assumptions!$B$46)/1000*Assumptions!$B$39+MAX(0,AE29-Assumptions!$B$46)/1000*Assumptions!$B$40+MAX(0,AF29-Assumptions!$B$46)/1000*Assumptions!$B$41+MAX(0,AG29-Assumptions!$B$46)/1000*Assumptions!$B$42</f>
        <v>2647.77777777778</v>
      </c>
      <c r="N29" s="21" t="n">
        <f aca="false">CHOOSE(Assumptions!$B$10,K29,L29,M29)</f>
        <v>1661.33333333333</v>
      </c>
      <c r="O29" s="21" t="n">
        <f aca="false">IF(D29&gt;Assumptions!$B$52,Assumptions!$B$51,Assumptions!$B$50)</f>
        <v>45</v>
      </c>
      <c r="P29" s="21" t="n">
        <f aca="false">Assumptions!$B$53</f>
        <v>200</v>
      </c>
      <c r="Q29" s="21" t="n">
        <f aca="false">N29+O29+P29</f>
        <v>1906.33333333333</v>
      </c>
      <c r="R29" s="22" t="n">
        <f aca="false">J29-Q29</f>
        <v>5536.66666666667</v>
      </c>
      <c r="S29" s="23" t="n">
        <f aca="false">S28+R29</f>
        <v>76805.9444444444</v>
      </c>
      <c r="U29" s="24" t="n">
        <f aca="false">IF($A29&gt;=Assumptions!$B$14,MIN(Assumptions!$B$5,Assumptions!$B$5*($A29-Assumptions!$B$14+1)/Assumptions!$B$6),0)</f>
        <v>5000</v>
      </c>
      <c r="V29" s="24" t="n">
        <f aca="false">IF($A29&gt;=Assumptions!$B$15,MIN(Assumptions!$B$5,Assumptions!$B$5*($A29-Assumptions!$B$15+1)/Assumptions!$B$6),0)</f>
        <v>5000</v>
      </c>
      <c r="W29" s="24" t="n">
        <f aca="false">IF($A29&gt;=Assumptions!$B$16,MIN(Assumptions!$B$5,Assumptions!$B$5*($A29-Assumptions!$B$16+1)/Assumptions!$B$6),0)</f>
        <v>3055.55555555556</v>
      </c>
      <c r="X29" s="24" t="n">
        <f aca="false">IF($A29&gt;=Assumptions!$B$17,MIN(Assumptions!$B$5,Assumptions!$B$5*($A29-Assumptions!$B$17+1)/Assumptions!$B$6),0)</f>
        <v>555.555555555556</v>
      </c>
      <c r="Y29" s="24" t="n">
        <f aca="false">IF($A29&gt;=Assumptions!$B$14,Assumptions!$B$7*MIN(1,($A29-Assumptions!$B$14+1)/Assumptions!$B$8),0)</f>
        <v>25</v>
      </c>
      <c r="Z29" s="24" t="n">
        <f aca="false">IF($A29&gt;=Assumptions!$B$15,Assumptions!$B$7*MIN(1,($A29-Assumptions!$B$15+1)/Assumptions!$B$8),0)</f>
        <v>25</v>
      </c>
      <c r="AA29" s="24" t="n">
        <f aca="false">IF($A29&gt;=Assumptions!$B$16,Assumptions!$B$7*MIN(1,($A29-Assumptions!$B$16+1)/Assumptions!$B$8),0)</f>
        <v>22.9166666666667</v>
      </c>
      <c r="AB29" s="24" t="n">
        <f aca="false">IF($A29&gt;=Assumptions!$B$17,Assumptions!$B$7*MIN(1,($A29-Assumptions!$B$17+1)/Assumptions!$B$8),0)</f>
        <v>4.16666666666667</v>
      </c>
      <c r="AC29" s="24" t="n">
        <f aca="false">D29*Assumptions!$B$21</f>
        <v>108888.888888889</v>
      </c>
      <c r="AD29" s="24" t="n">
        <f aca="false">D29*Assumptions!$B$22</f>
        <v>68055.5555555556</v>
      </c>
      <c r="AE29" s="24" t="n">
        <f aca="false">D29*Assumptions!$B$23</f>
        <v>40833.3333333333</v>
      </c>
      <c r="AF29" s="24" t="n">
        <f aca="false">D29*Assumptions!$B$24</f>
        <v>27222.2222222222</v>
      </c>
      <c r="AG29" s="24" t="n">
        <f aca="false">D29*Assumptions!$B$25</f>
        <v>81666.6666666667</v>
      </c>
      <c r="AH29" s="24" t="n">
        <f aca="false">IF(AND(R29&gt;=0,R28&lt;0),A29,0)</f>
        <v>0</v>
      </c>
      <c r="AI29" s="24" t="n">
        <f aca="false">IF(AND(S29&gt;=0,S28&lt;0),A29,0)</f>
        <v>0</v>
      </c>
    </row>
    <row r="30" customFormat="false" ht="15" hidden="false" customHeight="false" outlineLevel="0" collapsed="false">
      <c r="A30" s="18" t="n">
        <v>29</v>
      </c>
      <c r="B30" s="18" t="s">
        <v>135</v>
      </c>
      <c r="C30" s="19" t="n">
        <f aca="false">SUMPRODUCT(--(Assumptions!$B$14:$B$17&lt;=$A30))</f>
        <v>4</v>
      </c>
      <c r="D30" s="20" t="n">
        <f aca="false">SUM(U30:X30)</f>
        <v>14166.6666666667</v>
      </c>
      <c r="E30" s="20" t="n">
        <f aca="false">SUM(Y30:AB30)</f>
        <v>81.25</v>
      </c>
      <c r="F30" s="21" t="n">
        <f aca="false">E30*Assumptions!$B$9</f>
        <v>4793.75</v>
      </c>
      <c r="G30" s="21" t="n">
        <f aca="false">D30*Assumptions!$B$29*Assumptions!$B$30*Assumptions!$B$31</f>
        <v>1530</v>
      </c>
      <c r="H30" s="21" t="n">
        <f aca="false">D30*Assumptions!$B$32*Assumptions!$B$33</f>
        <v>1483.25</v>
      </c>
      <c r="I30" s="21" t="n">
        <f aca="false">D30*Assumptions!$B$26*Assumptions!$B$34/1000*Assumptions!$B$11</f>
        <v>0</v>
      </c>
      <c r="J30" s="21" t="n">
        <f aca="false">SUM(F30:I30)</f>
        <v>7807</v>
      </c>
      <c r="K30" s="21" t="n">
        <f aca="false">MAX(0,(AC30+AD30+AE30+AF30+AG30)-Assumptions!$B$47)/1000*Assumptions!$B$43</f>
        <v>248</v>
      </c>
      <c r="L30" s="21" t="n">
        <f aca="false">MAX(0,AD30-Assumptions!$B$46)/1000*Assumptions!$B$39+MAX(0,AE30-Assumptions!$B$46)/1000*Assumptions!$B$40+MAX(0,(AC30+AF30+AG30)-Assumptions!$B$47)/1000*Assumptions!$B$43</f>
        <v>1744</v>
      </c>
      <c r="M30" s="21" t="n">
        <f aca="false">MAX(0,AC30-Assumptions!$B$46)/1000*Assumptions!$B$38+MAX(0,AD30-Assumptions!$B$46)/1000*Assumptions!$B$39+MAX(0,AE30-Assumptions!$B$46)/1000*Assumptions!$B$40+MAX(0,AF30-Assumptions!$B$46)/1000*Assumptions!$B$41+MAX(0,AG30-Assumptions!$B$46)/1000*Assumptions!$B$42</f>
        <v>2776.66666666667</v>
      </c>
      <c r="N30" s="21" t="n">
        <f aca="false">CHOOSE(Assumptions!$B$10,K30,L30,M30)</f>
        <v>1744</v>
      </c>
      <c r="O30" s="21" t="n">
        <f aca="false">IF(D30&gt;Assumptions!$B$52,Assumptions!$B$51,Assumptions!$B$50)</f>
        <v>45</v>
      </c>
      <c r="P30" s="21" t="n">
        <f aca="false">Assumptions!$B$53</f>
        <v>200</v>
      </c>
      <c r="Q30" s="21" t="n">
        <f aca="false">N30+O30+P30</f>
        <v>1989</v>
      </c>
      <c r="R30" s="22" t="n">
        <f aca="false">J30-Q30</f>
        <v>5818</v>
      </c>
      <c r="S30" s="23" t="n">
        <f aca="false">S29+R30</f>
        <v>82623.9444444444</v>
      </c>
      <c r="U30" s="24" t="n">
        <f aca="false">IF($A30&gt;=Assumptions!$B$14,MIN(Assumptions!$B$5,Assumptions!$B$5*($A30-Assumptions!$B$14+1)/Assumptions!$B$6),0)</f>
        <v>5000</v>
      </c>
      <c r="V30" s="24" t="n">
        <f aca="false">IF($A30&gt;=Assumptions!$B$15,MIN(Assumptions!$B$5,Assumptions!$B$5*($A30-Assumptions!$B$15+1)/Assumptions!$B$6),0)</f>
        <v>5000</v>
      </c>
      <c r="W30" s="24" t="n">
        <f aca="false">IF($A30&gt;=Assumptions!$B$16,MIN(Assumptions!$B$5,Assumptions!$B$5*($A30-Assumptions!$B$16+1)/Assumptions!$B$6),0)</f>
        <v>3333.33333333333</v>
      </c>
      <c r="X30" s="24" t="n">
        <f aca="false">IF($A30&gt;=Assumptions!$B$17,MIN(Assumptions!$B$5,Assumptions!$B$5*($A30-Assumptions!$B$17+1)/Assumptions!$B$6),0)</f>
        <v>833.333333333333</v>
      </c>
      <c r="Y30" s="24" t="n">
        <f aca="false">IF($A30&gt;=Assumptions!$B$14,Assumptions!$B$7*MIN(1,($A30-Assumptions!$B$14+1)/Assumptions!$B$8),0)</f>
        <v>25</v>
      </c>
      <c r="Z30" s="24" t="n">
        <f aca="false">IF($A30&gt;=Assumptions!$B$15,Assumptions!$B$7*MIN(1,($A30-Assumptions!$B$15+1)/Assumptions!$B$8),0)</f>
        <v>25</v>
      </c>
      <c r="AA30" s="24" t="n">
        <f aca="false">IF($A30&gt;=Assumptions!$B$16,Assumptions!$B$7*MIN(1,($A30-Assumptions!$B$16+1)/Assumptions!$B$8),0)</f>
        <v>25</v>
      </c>
      <c r="AB30" s="24" t="n">
        <f aca="false">IF($A30&gt;=Assumptions!$B$17,Assumptions!$B$7*MIN(1,($A30-Assumptions!$B$17+1)/Assumptions!$B$8),0)</f>
        <v>6.25</v>
      </c>
      <c r="AC30" s="24" t="n">
        <f aca="false">D30*Assumptions!$B$21</f>
        <v>113333.333333333</v>
      </c>
      <c r="AD30" s="24" t="n">
        <f aca="false">D30*Assumptions!$B$22</f>
        <v>70833.3333333333</v>
      </c>
      <c r="AE30" s="24" t="n">
        <f aca="false">D30*Assumptions!$B$23</f>
        <v>42500</v>
      </c>
      <c r="AF30" s="24" t="n">
        <f aca="false">D30*Assumptions!$B$24</f>
        <v>28333.3333333333</v>
      </c>
      <c r="AG30" s="24" t="n">
        <f aca="false">D30*Assumptions!$B$25</f>
        <v>85000</v>
      </c>
      <c r="AH30" s="24" t="n">
        <f aca="false">IF(AND(R30&gt;=0,R29&lt;0),A30,0)</f>
        <v>0</v>
      </c>
      <c r="AI30" s="24" t="n">
        <f aca="false">IF(AND(S30&gt;=0,S29&lt;0),A30,0)</f>
        <v>0</v>
      </c>
    </row>
    <row r="31" customFormat="false" ht="15" hidden="false" customHeight="false" outlineLevel="0" collapsed="false">
      <c r="A31" s="18" t="n">
        <v>30</v>
      </c>
      <c r="B31" s="18" t="s">
        <v>136</v>
      </c>
      <c r="C31" s="19" t="n">
        <f aca="false">SUMPRODUCT(--(Assumptions!$B$14:$B$17&lt;=$A31))</f>
        <v>4</v>
      </c>
      <c r="D31" s="20" t="n">
        <f aca="false">SUM(U31:X31)</f>
        <v>14722.2222222222</v>
      </c>
      <c r="E31" s="20" t="n">
        <f aca="false">SUM(Y31:AB31)</f>
        <v>83.3333333333333</v>
      </c>
      <c r="F31" s="21" t="n">
        <f aca="false">E31*Assumptions!$B$9</f>
        <v>4916.66666666667</v>
      </c>
      <c r="G31" s="21" t="n">
        <f aca="false">D31*Assumptions!$B$29*Assumptions!$B$30*Assumptions!$B$31</f>
        <v>1590</v>
      </c>
      <c r="H31" s="21" t="n">
        <f aca="false">D31*Assumptions!$B$32*Assumptions!$B$33</f>
        <v>1541.41666666667</v>
      </c>
      <c r="I31" s="21" t="n">
        <f aca="false">D31*Assumptions!$B$26*Assumptions!$B$34/1000*Assumptions!$B$11</f>
        <v>0</v>
      </c>
      <c r="J31" s="21" t="n">
        <f aca="false">SUM(F31:I31)</f>
        <v>8048.08333333333</v>
      </c>
      <c r="K31" s="21" t="n">
        <f aca="false">MAX(0,(AC31+AD31+AE31+AF31+AG31)-Assumptions!$B$47)/1000*Assumptions!$B$43</f>
        <v>258.666666666667</v>
      </c>
      <c r="L31" s="21" t="n">
        <f aca="false">MAX(0,AD31-Assumptions!$B$46)/1000*Assumptions!$B$39+MAX(0,AE31-Assumptions!$B$46)/1000*Assumptions!$B$40+MAX(0,(AC31+AF31+AG31)-Assumptions!$B$47)/1000*Assumptions!$B$43</f>
        <v>1826.66666666667</v>
      </c>
      <c r="M31" s="21" t="n">
        <f aca="false">MAX(0,AC31-Assumptions!$B$46)/1000*Assumptions!$B$38+MAX(0,AD31-Assumptions!$B$46)/1000*Assumptions!$B$39+MAX(0,AE31-Assumptions!$B$46)/1000*Assumptions!$B$40+MAX(0,AF31-Assumptions!$B$46)/1000*Assumptions!$B$41+MAX(0,AG31-Assumptions!$B$46)/1000*Assumptions!$B$42</f>
        <v>2905.55555555556</v>
      </c>
      <c r="N31" s="21" t="n">
        <f aca="false">CHOOSE(Assumptions!$B$10,K31,L31,M31)</f>
        <v>1826.66666666667</v>
      </c>
      <c r="O31" s="21" t="n">
        <f aca="false">IF(D31&gt;Assumptions!$B$52,Assumptions!$B$51,Assumptions!$B$50)</f>
        <v>45</v>
      </c>
      <c r="P31" s="21" t="n">
        <f aca="false">Assumptions!$B$53</f>
        <v>200</v>
      </c>
      <c r="Q31" s="21" t="n">
        <f aca="false">N31+O31+P31</f>
        <v>2071.66666666667</v>
      </c>
      <c r="R31" s="22" t="n">
        <f aca="false">J31-Q31</f>
        <v>5976.41666666667</v>
      </c>
      <c r="S31" s="23" t="n">
        <f aca="false">S30+R31</f>
        <v>88600.3611111111</v>
      </c>
      <c r="U31" s="24" t="n">
        <f aca="false">IF($A31&gt;=Assumptions!$B$14,MIN(Assumptions!$B$5,Assumptions!$B$5*($A31-Assumptions!$B$14+1)/Assumptions!$B$6),0)</f>
        <v>5000</v>
      </c>
      <c r="V31" s="24" t="n">
        <f aca="false">IF($A31&gt;=Assumptions!$B$15,MIN(Assumptions!$B$5,Assumptions!$B$5*($A31-Assumptions!$B$15+1)/Assumptions!$B$6),0)</f>
        <v>5000</v>
      </c>
      <c r="W31" s="24" t="n">
        <f aca="false">IF($A31&gt;=Assumptions!$B$16,MIN(Assumptions!$B$5,Assumptions!$B$5*($A31-Assumptions!$B$16+1)/Assumptions!$B$6),0)</f>
        <v>3611.11111111111</v>
      </c>
      <c r="X31" s="24" t="n">
        <f aca="false">IF($A31&gt;=Assumptions!$B$17,MIN(Assumptions!$B$5,Assumptions!$B$5*($A31-Assumptions!$B$17+1)/Assumptions!$B$6),0)</f>
        <v>1111.11111111111</v>
      </c>
      <c r="Y31" s="24" t="n">
        <f aca="false">IF($A31&gt;=Assumptions!$B$14,Assumptions!$B$7*MIN(1,($A31-Assumptions!$B$14+1)/Assumptions!$B$8),0)</f>
        <v>25</v>
      </c>
      <c r="Z31" s="24" t="n">
        <f aca="false">IF($A31&gt;=Assumptions!$B$15,Assumptions!$B$7*MIN(1,($A31-Assumptions!$B$15+1)/Assumptions!$B$8),0)</f>
        <v>25</v>
      </c>
      <c r="AA31" s="24" t="n">
        <f aca="false">IF($A31&gt;=Assumptions!$B$16,Assumptions!$B$7*MIN(1,($A31-Assumptions!$B$16+1)/Assumptions!$B$8),0)</f>
        <v>25</v>
      </c>
      <c r="AB31" s="24" t="n">
        <f aca="false">IF($A31&gt;=Assumptions!$B$17,Assumptions!$B$7*MIN(1,($A31-Assumptions!$B$17+1)/Assumptions!$B$8),0)</f>
        <v>8.33333333333333</v>
      </c>
      <c r="AC31" s="24" t="n">
        <f aca="false">D31*Assumptions!$B$21</f>
        <v>117777.777777778</v>
      </c>
      <c r="AD31" s="24" t="n">
        <f aca="false">D31*Assumptions!$B$22</f>
        <v>73611.1111111111</v>
      </c>
      <c r="AE31" s="24" t="n">
        <f aca="false">D31*Assumptions!$B$23</f>
        <v>44166.6666666667</v>
      </c>
      <c r="AF31" s="24" t="n">
        <f aca="false">D31*Assumptions!$B$24</f>
        <v>29444.4444444444</v>
      </c>
      <c r="AG31" s="24" t="n">
        <f aca="false">D31*Assumptions!$B$25</f>
        <v>88333.3333333333</v>
      </c>
      <c r="AH31" s="24" t="n">
        <f aca="false">IF(AND(R31&gt;=0,R30&lt;0),A31,0)</f>
        <v>0</v>
      </c>
      <c r="AI31" s="24" t="n">
        <f aca="false">IF(AND(S31&gt;=0,S30&lt;0),A31,0)</f>
        <v>0</v>
      </c>
    </row>
    <row r="32" customFormat="false" ht="15" hidden="false" customHeight="false" outlineLevel="0" collapsed="false">
      <c r="A32" s="18" t="n">
        <v>31</v>
      </c>
      <c r="B32" s="18" t="s">
        <v>137</v>
      </c>
      <c r="C32" s="19" t="n">
        <f aca="false">SUMPRODUCT(--(Assumptions!$B$14:$B$17&lt;=$A32))</f>
        <v>4</v>
      </c>
      <c r="D32" s="20" t="n">
        <f aca="false">SUM(U32:X32)</f>
        <v>15277.7777777778</v>
      </c>
      <c r="E32" s="20" t="n">
        <f aca="false">SUM(Y32:AB32)</f>
        <v>85.4166666666667</v>
      </c>
      <c r="F32" s="21" t="n">
        <f aca="false">E32*Assumptions!$B$9</f>
        <v>5039.58333333333</v>
      </c>
      <c r="G32" s="21" t="n">
        <f aca="false">D32*Assumptions!$B$29*Assumptions!$B$30*Assumptions!$B$31</f>
        <v>1650</v>
      </c>
      <c r="H32" s="21" t="n">
        <f aca="false">D32*Assumptions!$B$32*Assumptions!$B$33</f>
        <v>1599.58333333333</v>
      </c>
      <c r="I32" s="21" t="n">
        <f aca="false">D32*Assumptions!$B$26*Assumptions!$B$34/1000*Assumptions!$B$11</f>
        <v>0</v>
      </c>
      <c r="J32" s="21" t="n">
        <f aca="false">SUM(F32:I32)</f>
        <v>8289.16666666667</v>
      </c>
      <c r="K32" s="21" t="n">
        <f aca="false">MAX(0,(AC32+AD32+AE32+AF32+AG32)-Assumptions!$B$47)/1000*Assumptions!$B$43</f>
        <v>269.333333333333</v>
      </c>
      <c r="L32" s="21" t="n">
        <f aca="false">MAX(0,AD32-Assumptions!$B$46)/1000*Assumptions!$B$39+MAX(0,AE32-Assumptions!$B$46)/1000*Assumptions!$B$40+MAX(0,(AC32+AF32+AG32)-Assumptions!$B$47)/1000*Assumptions!$B$43</f>
        <v>1909.33333333333</v>
      </c>
      <c r="M32" s="21" t="n">
        <f aca="false">MAX(0,AC32-Assumptions!$B$46)/1000*Assumptions!$B$38+MAX(0,AD32-Assumptions!$B$46)/1000*Assumptions!$B$39+MAX(0,AE32-Assumptions!$B$46)/1000*Assumptions!$B$40+MAX(0,AF32-Assumptions!$B$46)/1000*Assumptions!$B$41+MAX(0,AG32-Assumptions!$B$46)/1000*Assumptions!$B$42</f>
        <v>3034.44444444444</v>
      </c>
      <c r="N32" s="21" t="n">
        <f aca="false">CHOOSE(Assumptions!$B$10,K32,L32,M32)</f>
        <v>1909.33333333333</v>
      </c>
      <c r="O32" s="21" t="n">
        <f aca="false">IF(D32&gt;Assumptions!$B$52,Assumptions!$B$51,Assumptions!$B$50)</f>
        <v>45</v>
      </c>
      <c r="P32" s="21" t="n">
        <f aca="false">Assumptions!$B$53</f>
        <v>200</v>
      </c>
      <c r="Q32" s="21" t="n">
        <f aca="false">N32+O32+P32</f>
        <v>2154.33333333333</v>
      </c>
      <c r="R32" s="22" t="n">
        <f aca="false">J32-Q32</f>
        <v>6134.83333333333</v>
      </c>
      <c r="S32" s="23" t="n">
        <f aca="false">S31+R32</f>
        <v>94735.1944444444</v>
      </c>
      <c r="U32" s="24" t="n">
        <f aca="false">IF($A32&gt;=Assumptions!$B$14,MIN(Assumptions!$B$5,Assumptions!$B$5*($A32-Assumptions!$B$14+1)/Assumptions!$B$6),0)</f>
        <v>5000</v>
      </c>
      <c r="V32" s="24" t="n">
        <f aca="false">IF($A32&gt;=Assumptions!$B$15,MIN(Assumptions!$B$5,Assumptions!$B$5*($A32-Assumptions!$B$15+1)/Assumptions!$B$6),0)</f>
        <v>5000</v>
      </c>
      <c r="W32" s="24" t="n">
        <f aca="false">IF($A32&gt;=Assumptions!$B$16,MIN(Assumptions!$B$5,Assumptions!$B$5*($A32-Assumptions!$B$16+1)/Assumptions!$B$6),0)</f>
        <v>3888.88888888889</v>
      </c>
      <c r="X32" s="24" t="n">
        <f aca="false">IF($A32&gt;=Assumptions!$B$17,MIN(Assumptions!$B$5,Assumptions!$B$5*($A32-Assumptions!$B$17+1)/Assumptions!$B$6),0)</f>
        <v>1388.88888888889</v>
      </c>
      <c r="Y32" s="24" t="n">
        <f aca="false">IF($A32&gt;=Assumptions!$B$14,Assumptions!$B$7*MIN(1,($A32-Assumptions!$B$14+1)/Assumptions!$B$8),0)</f>
        <v>25</v>
      </c>
      <c r="Z32" s="24" t="n">
        <f aca="false">IF($A32&gt;=Assumptions!$B$15,Assumptions!$B$7*MIN(1,($A32-Assumptions!$B$15+1)/Assumptions!$B$8),0)</f>
        <v>25</v>
      </c>
      <c r="AA32" s="24" t="n">
        <f aca="false">IF($A32&gt;=Assumptions!$B$16,Assumptions!$B$7*MIN(1,($A32-Assumptions!$B$16+1)/Assumptions!$B$8),0)</f>
        <v>25</v>
      </c>
      <c r="AB32" s="24" t="n">
        <f aca="false">IF($A32&gt;=Assumptions!$B$17,Assumptions!$B$7*MIN(1,($A32-Assumptions!$B$17+1)/Assumptions!$B$8),0)</f>
        <v>10.4166666666667</v>
      </c>
      <c r="AC32" s="24" t="n">
        <f aca="false">D32*Assumptions!$B$21</f>
        <v>122222.222222222</v>
      </c>
      <c r="AD32" s="24" t="n">
        <f aca="false">D32*Assumptions!$B$22</f>
        <v>76388.8888888889</v>
      </c>
      <c r="AE32" s="24" t="n">
        <f aca="false">D32*Assumptions!$B$23</f>
        <v>45833.3333333333</v>
      </c>
      <c r="AF32" s="24" t="n">
        <f aca="false">D32*Assumptions!$B$24</f>
        <v>30555.5555555556</v>
      </c>
      <c r="AG32" s="24" t="n">
        <f aca="false">D32*Assumptions!$B$25</f>
        <v>91666.6666666667</v>
      </c>
      <c r="AH32" s="24" t="n">
        <f aca="false">IF(AND(R32&gt;=0,R31&lt;0),A32,0)</f>
        <v>0</v>
      </c>
      <c r="AI32" s="24" t="n">
        <f aca="false">IF(AND(S32&gt;=0,S31&lt;0),A32,0)</f>
        <v>0</v>
      </c>
    </row>
    <row r="33" customFormat="false" ht="15" hidden="false" customHeight="false" outlineLevel="0" collapsed="false">
      <c r="A33" s="18" t="n">
        <v>32</v>
      </c>
      <c r="B33" s="18" t="s">
        <v>138</v>
      </c>
      <c r="C33" s="19" t="n">
        <f aca="false">SUMPRODUCT(--(Assumptions!$B$14:$B$17&lt;=$A33))</f>
        <v>4</v>
      </c>
      <c r="D33" s="20" t="n">
        <f aca="false">SUM(U33:X33)</f>
        <v>15833.3333333333</v>
      </c>
      <c r="E33" s="20" t="n">
        <f aca="false">SUM(Y33:AB33)</f>
        <v>87.5</v>
      </c>
      <c r="F33" s="21" t="n">
        <f aca="false">E33*Assumptions!$B$9</f>
        <v>5162.5</v>
      </c>
      <c r="G33" s="21" t="n">
        <f aca="false">D33*Assumptions!$B$29*Assumptions!$B$30*Assumptions!$B$31</f>
        <v>1710</v>
      </c>
      <c r="H33" s="21" t="n">
        <f aca="false">D33*Assumptions!$B$32*Assumptions!$B$33</f>
        <v>1657.75</v>
      </c>
      <c r="I33" s="21" t="n">
        <f aca="false">D33*Assumptions!$B$26*Assumptions!$B$34/1000*Assumptions!$B$11</f>
        <v>0</v>
      </c>
      <c r="J33" s="21" t="n">
        <f aca="false">SUM(F33:I33)</f>
        <v>8530.25</v>
      </c>
      <c r="K33" s="21" t="n">
        <f aca="false">MAX(0,(AC33+AD33+AE33+AF33+AG33)-Assumptions!$B$47)/1000*Assumptions!$B$43</f>
        <v>280</v>
      </c>
      <c r="L33" s="21" t="n">
        <f aca="false">MAX(0,AD33-Assumptions!$B$46)/1000*Assumptions!$B$39+MAX(0,AE33-Assumptions!$B$46)/1000*Assumptions!$B$40+MAX(0,(AC33+AF33+AG33)-Assumptions!$B$47)/1000*Assumptions!$B$43</f>
        <v>1992</v>
      </c>
      <c r="M33" s="21" t="n">
        <f aca="false">MAX(0,AC33-Assumptions!$B$46)/1000*Assumptions!$B$38+MAX(0,AD33-Assumptions!$B$46)/1000*Assumptions!$B$39+MAX(0,AE33-Assumptions!$B$46)/1000*Assumptions!$B$40+MAX(0,AF33-Assumptions!$B$46)/1000*Assumptions!$B$41+MAX(0,AG33-Assumptions!$B$46)/1000*Assumptions!$B$42</f>
        <v>3163.33333333333</v>
      </c>
      <c r="N33" s="21" t="n">
        <f aca="false">CHOOSE(Assumptions!$B$10,K33,L33,M33)</f>
        <v>1992</v>
      </c>
      <c r="O33" s="21" t="n">
        <f aca="false">IF(D33&gt;Assumptions!$B$52,Assumptions!$B$51,Assumptions!$B$50)</f>
        <v>45</v>
      </c>
      <c r="P33" s="21" t="n">
        <f aca="false">Assumptions!$B$53</f>
        <v>200</v>
      </c>
      <c r="Q33" s="21" t="n">
        <f aca="false">N33+O33+P33</f>
        <v>2237</v>
      </c>
      <c r="R33" s="22" t="n">
        <f aca="false">J33-Q33</f>
        <v>6293.25</v>
      </c>
      <c r="S33" s="23" t="n">
        <f aca="false">S32+R33</f>
        <v>101028.444444444</v>
      </c>
      <c r="U33" s="24" t="n">
        <f aca="false">IF($A33&gt;=Assumptions!$B$14,MIN(Assumptions!$B$5,Assumptions!$B$5*($A33-Assumptions!$B$14+1)/Assumptions!$B$6),0)</f>
        <v>5000</v>
      </c>
      <c r="V33" s="24" t="n">
        <f aca="false">IF($A33&gt;=Assumptions!$B$15,MIN(Assumptions!$B$5,Assumptions!$B$5*($A33-Assumptions!$B$15+1)/Assumptions!$B$6),0)</f>
        <v>5000</v>
      </c>
      <c r="W33" s="24" t="n">
        <f aca="false">IF($A33&gt;=Assumptions!$B$16,MIN(Assumptions!$B$5,Assumptions!$B$5*($A33-Assumptions!$B$16+1)/Assumptions!$B$6),0)</f>
        <v>4166.66666666667</v>
      </c>
      <c r="X33" s="24" t="n">
        <f aca="false">IF($A33&gt;=Assumptions!$B$17,MIN(Assumptions!$B$5,Assumptions!$B$5*($A33-Assumptions!$B$17+1)/Assumptions!$B$6),0)</f>
        <v>1666.66666666667</v>
      </c>
      <c r="Y33" s="24" t="n">
        <f aca="false">IF($A33&gt;=Assumptions!$B$14,Assumptions!$B$7*MIN(1,($A33-Assumptions!$B$14+1)/Assumptions!$B$8),0)</f>
        <v>25</v>
      </c>
      <c r="Z33" s="24" t="n">
        <f aca="false">IF($A33&gt;=Assumptions!$B$15,Assumptions!$B$7*MIN(1,($A33-Assumptions!$B$15+1)/Assumptions!$B$8),0)</f>
        <v>25</v>
      </c>
      <c r="AA33" s="24" t="n">
        <f aca="false">IF($A33&gt;=Assumptions!$B$16,Assumptions!$B$7*MIN(1,($A33-Assumptions!$B$16+1)/Assumptions!$B$8),0)</f>
        <v>25</v>
      </c>
      <c r="AB33" s="24" t="n">
        <f aca="false">IF($A33&gt;=Assumptions!$B$17,Assumptions!$B$7*MIN(1,($A33-Assumptions!$B$17+1)/Assumptions!$B$8),0)</f>
        <v>12.5</v>
      </c>
      <c r="AC33" s="24" t="n">
        <f aca="false">D33*Assumptions!$B$21</f>
        <v>126666.666666667</v>
      </c>
      <c r="AD33" s="24" t="n">
        <f aca="false">D33*Assumptions!$B$22</f>
        <v>79166.6666666667</v>
      </c>
      <c r="AE33" s="24" t="n">
        <f aca="false">D33*Assumptions!$B$23</f>
        <v>47500</v>
      </c>
      <c r="AF33" s="24" t="n">
        <f aca="false">D33*Assumptions!$B$24</f>
        <v>31666.6666666667</v>
      </c>
      <c r="AG33" s="24" t="n">
        <f aca="false">D33*Assumptions!$B$25</f>
        <v>95000</v>
      </c>
      <c r="AH33" s="24" t="n">
        <f aca="false">IF(AND(R33&gt;=0,R32&lt;0),A33,0)</f>
        <v>0</v>
      </c>
      <c r="AI33" s="24" t="n">
        <f aca="false">IF(AND(S33&gt;=0,S32&lt;0),A33,0)</f>
        <v>0</v>
      </c>
    </row>
    <row r="34" customFormat="false" ht="15" hidden="false" customHeight="false" outlineLevel="0" collapsed="false">
      <c r="A34" s="18" t="n">
        <v>33</v>
      </c>
      <c r="B34" s="18" t="s">
        <v>139</v>
      </c>
      <c r="C34" s="19" t="n">
        <f aca="false">SUMPRODUCT(--(Assumptions!$B$14:$B$17&lt;=$A34))</f>
        <v>4</v>
      </c>
      <c r="D34" s="20" t="n">
        <f aca="false">SUM(U34:X34)</f>
        <v>16388.8888888889</v>
      </c>
      <c r="E34" s="20" t="n">
        <f aca="false">SUM(Y34:AB34)</f>
        <v>89.5833333333333</v>
      </c>
      <c r="F34" s="21" t="n">
        <f aca="false">E34*Assumptions!$B$9</f>
        <v>5285.41666666667</v>
      </c>
      <c r="G34" s="21" t="n">
        <f aca="false">D34*Assumptions!$B$29*Assumptions!$B$30*Assumptions!$B$31</f>
        <v>1770</v>
      </c>
      <c r="H34" s="21" t="n">
        <f aca="false">D34*Assumptions!$B$32*Assumptions!$B$33</f>
        <v>1715.91666666667</v>
      </c>
      <c r="I34" s="21" t="n">
        <f aca="false">D34*Assumptions!$B$26*Assumptions!$B$34/1000*Assumptions!$B$11</f>
        <v>0</v>
      </c>
      <c r="J34" s="21" t="n">
        <f aca="false">SUM(F34:I34)</f>
        <v>8771.33333333333</v>
      </c>
      <c r="K34" s="21" t="n">
        <f aca="false">MAX(0,(AC34+AD34+AE34+AF34+AG34)-Assumptions!$B$47)/1000*Assumptions!$B$43</f>
        <v>290.666666666667</v>
      </c>
      <c r="L34" s="21" t="n">
        <f aca="false">MAX(0,AD34-Assumptions!$B$46)/1000*Assumptions!$B$39+MAX(0,AE34-Assumptions!$B$46)/1000*Assumptions!$B$40+MAX(0,(AC34+AF34+AG34)-Assumptions!$B$47)/1000*Assumptions!$B$43</f>
        <v>2074.66666666667</v>
      </c>
      <c r="M34" s="21" t="n">
        <f aca="false">MAX(0,AC34-Assumptions!$B$46)/1000*Assumptions!$B$38+MAX(0,AD34-Assumptions!$B$46)/1000*Assumptions!$B$39+MAX(0,AE34-Assumptions!$B$46)/1000*Assumptions!$B$40+MAX(0,AF34-Assumptions!$B$46)/1000*Assumptions!$B$41+MAX(0,AG34-Assumptions!$B$46)/1000*Assumptions!$B$42</f>
        <v>3292.22222222222</v>
      </c>
      <c r="N34" s="21" t="n">
        <f aca="false">CHOOSE(Assumptions!$B$10,K34,L34,M34)</f>
        <v>2074.66666666667</v>
      </c>
      <c r="O34" s="21" t="n">
        <f aca="false">IF(D34&gt;Assumptions!$B$52,Assumptions!$B$51,Assumptions!$B$50)</f>
        <v>45</v>
      </c>
      <c r="P34" s="21" t="n">
        <f aca="false">Assumptions!$B$53</f>
        <v>200</v>
      </c>
      <c r="Q34" s="21" t="n">
        <f aca="false">N34+O34+P34</f>
        <v>2319.66666666667</v>
      </c>
      <c r="R34" s="22" t="n">
        <f aca="false">J34-Q34</f>
        <v>6451.66666666667</v>
      </c>
      <c r="S34" s="23" t="n">
        <f aca="false">S33+R34</f>
        <v>107480.111111111</v>
      </c>
      <c r="U34" s="24" t="n">
        <f aca="false">IF($A34&gt;=Assumptions!$B$14,MIN(Assumptions!$B$5,Assumptions!$B$5*($A34-Assumptions!$B$14+1)/Assumptions!$B$6),0)</f>
        <v>5000</v>
      </c>
      <c r="V34" s="24" t="n">
        <f aca="false">IF($A34&gt;=Assumptions!$B$15,MIN(Assumptions!$B$5,Assumptions!$B$5*($A34-Assumptions!$B$15+1)/Assumptions!$B$6),0)</f>
        <v>5000</v>
      </c>
      <c r="W34" s="24" t="n">
        <f aca="false">IF($A34&gt;=Assumptions!$B$16,MIN(Assumptions!$B$5,Assumptions!$B$5*($A34-Assumptions!$B$16+1)/Assumptions!$B$6),0)</f>
        <v>4444.44444444444</v>
      </c>
      <c r="X34" s="24" t="n">
        <f aca="false">IF($A34&gt;=Assumptions!$B$17,MIN(Assumptions!$B$5,Assumptions!$B$5*($A34-Assumptions!$B$17+1)/Assumptions!$B$6),0)</f>
        <v>1944.44444444444</v>
      </c>
      <c r="Y34" s="24" t="n">
        <f aca="false">IF($A34&gt;=Assumptions!$B$14,Assumptions!$B$7*MIN(1,($A34-Assumptions!$B$14+1)/Assumptions!$B$8),0)</f>
        <v>25</v>
      </c>
      <c r="Z34" s="24" t="n">
        <f aca="false">IF($A34&gt;=Assumptions!$B$15,Assumptions!$B$7*MIN(1,($A34-Assumptions!$B$15+1)/Assumptions!$B$8),0)</f>
        <v>25</v>
      </c>
      <c r="AA34" s="24" t="n">
        <f aca="false">IF($A34&gt;=Assumptions!$B$16,Assumptions!$B$7*MIN(1,($A34-Assumptions!$B$16+1)/Assumptions!$B$8),0)</f>
        <v>25</v>
      </c>
      <c r="AB34" s="24" t="n">
        <f aca="false">IF($A34&gt;=Assumptions!$B$17,Assumptions!$B$7*MIN(1,($A34-Assumptions!$B$17+1)/Assumptions!$B$8),0)</f>
        <v>14.5833333333333</v>
      </c>
      <c r="AC34" s="24" t="n">
        <f aca="false">D34*Assumptions!$B$21</f>
        <v>131111.111111111</v>
      </c>
      <c r="AD34" s="24" t="n">
        <f aca="false">D34*Assumptions!$B$22</f>
        <v>81944.4444444445</v>
      </c>
      <c r="AE34" s="24" t="n">
        <f aca="false">D34*Assumptions!$B$23</f>
        <v>49166.6666666667</v>
      </c>
      <c r="AF34" s="24" t="n">
        <f aca="false">D34*Assumptions!$B$24</f>
        <v>32777.7777777778</v>
      </c>
      <c r="AG34" s="24" t="n">
        <f aca="false">D34*Assumptions!$B$25</f>
        <v>98333.3333333333</v>
      </c>
      <c r="AH34" s="24" t="n">
        <f aca="false">IF(AND(R34&gt;=0,R33&lt;0),A34,0)</f>
        <v>0</v>
      </c>
      <c r="AI34" s="24" t="n">
        <f aca="false">IF(AND(S34&gt;=0,S33&lt;0),A34,0)</f>
        <v>0</v>
      </c>
    </row>
    <row r="35" customFormat="false" ht="15" hidden="false" customHeight="false" outlineLevel="0" collapsed="false">
      <c r="A35" s="18" t="n">
        <v>34</v>
      </c>
      <c r="B35" s="18" t="s">
        <v>140</v>
      </c>
      <c r="C35" s="19" t="n">
        <f aca="false">SUMPRODUCT(--(Assumptions!$B$14:$B$17&lt;=$A35))</f>
        <v>4</v>
      </c>
      <c r="D35" s="20" t="n">
        <f aca="false">SUM(U35:X35)</f>
        <v>16944.4444444444</v>
      </c>
      <c r="E35" s="20" t="n">
        <f aca="false">SUM(Y35:AB35)</f>
        <v>91.6666666666667</v>
      </c>
      <c r="F35" s="21" t="n">
        <f aca="false">E35*Assumptions!$B$9</f>
        <v>5408.33333333333</v>
      </c>
      <c r="G35" s="21" t="n">
        <f aca="false">D35*Assumptions!$B$29*Assumptions!$B$30*Assumptions!$B$31</f>
        <v>1830</v>
      </c>
      <c r="H35" s="21" t="n">
        <f aca="false">D35*Assumptions!$B$32*Assumptions!$B$33</f>
        <v>1774.08333333333</v>
      </c>
      <c r="I35" s="21" t="n">
        <f aca="false">D35*Assumptions!$B$26*Assumptions!$B$34/1000*Assumptions!$B$11</f>
        <v>0</v>
      </c>
      <c r="J35" s="21" t="n">
        <f aca="false">SUM(F35:I35)</f>
        <v>9012.41666666667</v>
      </c>
      <c r="K35" s="21" t="n">
        <f aca="false">MAX(0,(AC35+AD35+AE35+AF35+AG35)-Assumptions!$B$47)/1000*Assumptions!$B$43</f>
        <v>301.333333333333</v>
      </c>
      <c r="L35" s="21" t="n">
        <f aca="false">MAX(0,AD35-Assumptions!$B$46)/1000*Assumptions!$B$39+MAX(0,AE35-Assumptions!$B$46)/1000*Assumptions!$B$40+MAX(0,(AC35+AF35+AG35)-Assumptions!$B$47)/1000*Assumptions!$B$43</f>
        <v>2157.33333333333</v>
      </c>
      <c r="M35" s="21" t="n">
        <f aca="false">MAX(0,AC35-Assumptions!$B$46)/1000*Assumptions!$B$38+MAX(0,AD35-Assumptions!$B$46)/1000*Assumptions!$B$39+MAX(0,AE35-Assumptions!$B$46)/1000*Assumptions!$B$40+MAX(0,AF35-Assumptions!$B$46)/1000*Assumptions!$B$41+MAX(0,AG35-Assumptions!$B$46)/1000*Assumptions!$B$42</f>
        <v>3421.11111111111</v>
      </c>
      <c r="N35" s="21" t="n">
        <f aca="false">CHOOSE(Assumptions!$B$10,K35,L35,M35)</f>
        <v>2157.33333333333</v>
      </c>
      <c r="O35" s="21" t="n">
        <f aca="false">IF(D35&gt;Assumptions!$B$52,Assumptions!$B$51,Assumptions!$B$50)</f>
        <v>45</v>
      </c>
      <c r="P35" s="21" t="n">
        <f aca="false">Assumptions!$B$53</f>
        <v>200</v>
      </c>
      <c r="Q35" s="21" t="n">
        <f aca="false">N35+O35+P35</f>
        <v>2402.33333333333</v>
      </c>
      <c r="R35" s="22" t="n">
        <f aca="false">J35-Q35</f>
        <v>6610.08333333333</v>
      </c>
      <c r="S35" s="23" t="n">
        <f aca="false">S34+R35</f>
        <v>114090.194444444</v>
      </c>
      <c r="U35" s="24" t="n">
        <f aca="false">IF($A35&gt;=Assumptions!$B$14,MIN(Assumptions!$B$5,Assumptions!$B$5*($A35-Assumptions!$B$14+1)/Assumptions!$B$6),0)</f>
        <v>5000</v>
      </c>
      <c r="V35" s="24" t="n">
        <f aca="false">IF($A35&gt;=Assumptions!$B$15,MIN(Assumptions!$B$5,Assumptions!$B$5*($A35-Assumptions!$B$15+1)/Assumptions!$B$6),0)</f>
        <v>5000</v>
      </c>
      <c r="W35" s="24" t="n">
        <f aca="false">IF($A35&gt;=Assumptions!$B$16,MIN(Assumptions!$B$5,Assumptions!$B$5*($A35-Assumptions!$B$16+1)/Assumptions!$B$6),0)</f>
        <v>4722.22222222222</v>
      </c>
      <c r="X35" s="24" t="n">
        <f aca="false">IF($A35&gt;=Assumptions!$B$17,MIN(Assumptions!$B$5,Assumptions!$B$5*($A35-Assumptions!$B$17+1)/Assumptions!$B$6),0)</f>
        <v>2222.22222222222</v>
      </c>
      <c r="Y35" s="24" t="n">
        <f aca="false">IF($A35&gt;=Assumptions!$B$14,Assumptions!$B$7*MIN(1,($A35-Assumptions!$B$14+1)/Assumptions!$B$8),0)</f>
        <v>25</v>
      </c>
      <c r="Z35" s="24" t="n">
        <f aca="false">IF($A35&gt;=Assumptions!$B$15,Assumptions!$B$7*MIN(1,($A35-Assumptions!$B$15+1)/Assumptions!$B$8),0)</f>
        <v>25</v>
      </c>
      <c r="AA35" s="24" t="n">
        <f aca="false">IF($A35&gt;=Assumptions!$B$16,Assumptions!$B$7*MIN(1,($A35-Assumptions!$B$16+1)/Assumptions!$B$8),0)</f>
        <v>25</v>
      </c>
      <c r="AB35" s="24" t="n">
        <f aca="false">IF($A35&gt;=Assumptions!$B$17,Assumptions!$B$7*MIN(1,($A35-Assumptions!$B$17+1)/Assumptions!$B$8),0)</f>
        <v>16.6666666666667</v>
      </c>
      <c r="AC35" s="24" t="n">
        <f aca="false">D35*Assumptions!$B$21</f>
        <v>135555.555555556</v>
      </c>
      <c r="AD35" s="24" t="n">
        <f aca="false">D35*Assumptions!$B$22</f>
        <v>84722.2222222222</v>
      </c>
      <c r="AE35" s="24" t="n">
        <f aca="false">D35*Assumptions!$B$23</f>
        <v>50833.3333333333</v>
      </c>
      <c r="AF35" s="24" t="n">
        <f aca="false">D35*Assumptions!$B$24</f>
        <v>33888.8888888889</v>
      </c>
      <c r="AG35" s="24" t="n">
        <f aca="false">D35*Assumptions!$B$25</f>
        <v>101666.666666667</v>
      </c>
      <c r="AH35" s="24" t="n">
        <f aca="false">IF(AND(R35&gt;=0,R34&lt;0),A35,0)</f>
        <v>0</v>
      </c>
      <c r="AI35" s="24" t="n">
        <f aca="false">IF(AND(S35&gt;=0,S34&lt;0),A35,0)</f>
        <v>0</v>
      </c>
    </row>
    <row r="36" customFormat="false" ht="15" hidden="false" customHeight="false" outlineLevel="0" collapsed="false">
      <c r="A36" s="18" t="n">
        <v>35</v>
      </c>
      <c r="B36" s="18" t="s">
        <v>141</v>
      </c>
      <c r="C36" s="19" t="n">
        <f aca="false">SUMPRODUCT(--(Assumptions!$B$14:$B$17&lt;=$A36))</f>
        <v>4</v>
      </c>
      <c r="D36" s="20" t="n">
        <f aca="false">SUM(U36:X36)</f>
        <v>17500</v>
      </c>
      <c r="E36" s="20" t="n">
        <f aca="false">SUM(Y36:AB36)</f>
        <v>93.75</v>
      </c>
      <c r="F36" s="21" t="n">
        <f aca="false">E36*Assumptions!$B$9</f>
        <v>5531.25</v>
      </c>
      <c r="G36" s="21" t="n">
        <f aca="false">D36*Assumptions!$B$29*Assumptions!$B$30*Assumptions!$B$31</f>
        <v>1890</v>
      </c>
      <c r="H36" s="21" t="n">
        <f aca="false">D36*Assumptions!$B$32*Assumptions!$B$33</f>
        <v>1832.25</v>
      </c>
      <c r="I36" s="21" t="n">
        <f aca="false">D36*Assumptions!$B$26*Assumptions!$B$34/1000*Assumptions!$B$11</f>
        <v>0</v>
      </c>
      <c r="J36" s="21" t="n">
        <f aca="false">SUM(F36:I36)</f>
        <v>9253.5</v>
      </c>
      <c r="K36" s="21" t="n">
        <f aca="false">MAX(0,(AC36+AD36+AE36+AF36+AG36)-Assumptions!$B$47)/1000*Assumptions!$B$43</f>
        <v>312</v>
      </c>
      <c r="L36" s="21" t="n">
        <f aca="false">MAX(0,AD36-Assumptions!$B$46)/1000*Assumptions!$B$39+MAX(0,AE36-Assumptions!$B$46)/1000*Assumptions!$B$40+MAX(0,(AC36+AF36+AG36)-Assumptions!$B$47)/1000*Assumptions!$B$43</f>
        <v>2240</v>
      </c>
      <c r="M36" s="21" t="n">
        <f aca="false">MAX(0,AC36-Assumptions!$B$46)/1000*Assumptions!$B$38+MAX(0,AD36-Assumptions!$B$46)/1000*Assumptions!$B$39+MAX(0,AE36-Assumptions!$B$46)/1000*Assumptions!$B$40+MAX(0,AF36-Assumptions!$B$46)/1000*Assumptions!$B$41+MAX(0,AG36-Assumptions!$B$46)/1000*Assumptions!$B$42</f>
        <v>3550</v>
      </c>
      <c r="N36" s="21" t="n">
        <f aca="false">CHOOSE(Assumptions!$B$10,K36,L36,M36)</f>
        <v>2240</v>
      </c>
      <c r="O36" s="21" t="n">
        <f aca="false">IF(D36&gt;Assumptions!$B$52,Assumptions!$B$51,Assumptions!$B$50)</f>
        <v>45</v>
      </c>
      <c r="P36" s="21" t="n">
        <f aca="false">Assumptions!$B$53</f>
        <v>200</v>
      </c>
      <c r="Q36" s="21" t="n">
        <f aca="false">N36+O36+P36</f>
        <v>2485</v>
      </c>
      <c r="R36" s="22" t="n">
        <f aca="false">J36-Q36</f>
        <v>6768.5</v>
      </c>
      <c r="S36" s="23" t="n">
        <f aca="false">S35+R36</f>
        <v>120858.694444444</v>
      </c>
      <c r="U36" s="24" t="n">
        <f aca="false">IF($A36&gt;=Assumptions!$B$14,MIN(Assumptions!$B$5,Assumptions!$B$5*($A36-Assumptions!$B$14+1)/Assumptions!$B$6),0)</f>
        <v>5000</v>
      </c>
      <c r="V36" s="24" t="n">
        <f aca="false">IF($A36&gt;=Assumptions!$B$15,MIN(Assumptions!$B$5,Assumptions!$B$5*($A36-Assumptions!$B$15+1)/Assumptions!$B$6),0)</f>
        <v>5000</v>
      </c>
      <c r="W36" s="24" t="n">
        <f aca="false">IF($A36&gt;=Assumptions!$B$16,MIN(Assumptions!$B$5,Assumptions!$B$5*($A36-Assumptions!$B$16+1)/Assumptions!$B$6),0)</f>
        <v>5000</v>
      </c>
      <c r="X36" s="24" t="n">
        <f aca="false">IF($A36&gt;=Assumptions!$B$17,MIN(Assumptions!$B$5,Assumptions!$B$5*($A36-Assumptions!$B$17+1)/Assumptions!$B$6),0)</f>
        <v>2500</v>
      </c>
      <c r="Y36" s="24" t="n">
        <f aca="false">IF($A36&gt;=Assumptions!$B$14,Assumptions!$B$7*MIN(1,($A36-Assumptions!$B$14+1)/Assumptions!$B$8),0)</f>
        <v>25</v>
      </c>
      <c r="Z36" s="24" t="n">
        <f aca="false">IF($A36&gt;=Assumptions!$B$15,Assumptions!$B$7*MIN(1,($A36-Assumptions!$B$15+1)/Assumptions!$B$8),0)</f>
        <v>25</v>
      </c>
      <c r="AA36" s="24" t="n">
        <f aca="false">IF($A36&gt;=Assumptions!$B$16,Assumptions!$B$7*MIN(1,($A36-Assumptions!$B$16+1)/Assumptions!$B$8),0)</f>
        <v>25</v>
      </c>
      <c r="AB36" s="24" t="n">
        <f aca="false">IF($A36&gt;=Assumptions!$B$17,Assumptions!$B$7*MIN(1,($A36-Assumptions!$B$17+1)/Assumptions!$B$8),0)</f>
        <v>18.75</v>
      </c>
      <c r="AC36" s="24" t="n">
        <f aca="false">D36*Assumptions!$B$21</f>
        <v>140000</v>
      </c>
      <c r="AD36" s="24" t="n">
        <f aca="false">D36*Assumptions!$B$22</f>
        <v>87500</v>
      </c>
      <c r="AE36" s="24" t="n">
        <f aca="false">D36*Assumptions!$B$23</f>
        <v>52500</v>
      </c>
      <c r="AF36" s="24" t="n">
        <f aca="false">D36*Assumptions!$B$24</f>
        <v>35000</v>
      </c>
      <c r="AG36" s="24" t="n">
        <f aca="false">D36*Assumptions!$B$25</f>
        <v>105000</v>
      </c>
      <c r="AH36" s="24" t="n">
        <f aca="false">IF(AND(R36&gt;=0,R35&lt;0),A36,0)</f>
        <v>0</v>
      </c>
      <c r="AI36" s="24" t="n">
        <f aca="false">IF(AND(S36&gt;=0,S35&lt;0),A36,0)</f>
        <v>0</v>
      </c>
    </row>
    <row r="37" customFormat="false" ht="15" hidden="false" customHeight="false" outlineLevel="0" collapsed="false">
      <c r="A37" s="18" t="n">
        <v>36</v>
      </c>
      <c r="B37" s="18" t="s">
        <v>142</v>
      </c>
      <c r="C37" s="19" t="n">
        <f aca="false">SUMPRODUCT(--(Assumptions!$B$14:$B$17&lt;=$A37))</f>
        <v>4</v>
      </c>
      <c r="D37" s="20" t="n">
        <f aca="false">SUM(U37:X37)</f>
        <v>17777.7777777778</v>
      </c>
      <c r="E37" s="20" t="n">
        <f aca="false">SUM(Y37:AB37)</f>
        <v>95.8333333333333</v>
      </c>
      <c r="F37" s="21" t="n">
        <f aca="false">E37*Assumptions!$B$9</f>
        <v>5654.16666666667</v>
      </c>
      <c r="G37" s="21" t="n">
        <f aca="false">D37*Assumptions!$B$29*Assumptions!$B$30*Assumptions!$B$31</f>
        <v>1920</v>
      </c>
      <c r="H37" s="21" t="n">
        <f aca="false">D37*Assumptions!$B$32*Assumptions!$B$33</f>
        <v>1861.33333333333</v>
      </c>
      <c r="I37" s="21" t="n">
        <f aca="false">D37*Assumptions!$B$26*Assumptions!$B$34/1000*Assumptions!$B$11</f>
        <v>0</v>
      </c>
      <c r="J37" s="21" t="n">
        <f aca="false">SUM(F37:I37)</f>
        <v>9435.5</v>
      </c>
      <c r="K37" s="21" t="n">
        <f aca="false">MAX(0,(AC37+AD37+AE37+AF37+AG37)-Assumptions!$B$47)/1000*Assumptions!$B$43</f>
        <v>317.333333333333</v>
      </c>
      <c r="L37" s="21" t="n">
        <f aca="false">MAX(0,AD37-Assumptions!$B$46)/1000*Assumptions!$B$39+MAX(0,AE37-Assumptions!$B$46)/1000*Assumptions!$B$40+MAX(0,(AC37+AF37+AG37)-Assumptions!$B$47)/1000*Assumptions!$B$43</f>
        <v>2281.33333333333</v>
      </c>
      <c r="M37" s="21" t="n">
        <f aca="false">MAX(0,AC37-Assumptions!$B$46)/1000*Assumptions!$B$38+MAX(0,AD37-Assumptions!$B$46)/1000*Assumptions!$B$39+MAX(0,AE37-Assumptions!$B$46)/1000*Assumptions!$B$40+MAX(0,AF37-Assumptions!$B$46)/1000*Assumptions!$B$41+MAX(0,AG37-Assumptions!$B$46)/1000*Assumptions!$B$42</f>
        <v>3614.44444444444</v>
      </c>
      <c r="N37" s="21" t="n">
        <f aca="false">CHOOSE(Assumptions!$B$10,K37,L37,M37)</f>
        <v>2281.33333333333</v>
      </c>
      <c r="O37" s="21" t="n">
        <f aca="false">IF(D37&gt;Assumptions!$B$52,Assumptions!$B$51,Assumptions!$B$50)</f>
        <v>45</v>
      </c>
      <c r="P37" s="21" t="n">
        <f aca="false">Assumptions!$B$53</f>
        <v>200</v>
      </c>
      <c r="Q37" s="21" t="n">
        <f aca="false">N37+O37+P37</f>
        <v>2526.33333333333</v>
      </c>
      <c r="R37" s="22" t="n">
        <f aca="false">J37-Q37</f>
        <v>6909.16666666667</v>
      </c>
      <c r="S37" s="23" t="n">
        <f aca="false">S36+R37</f>
        <v>127767.861111111</v>
      </c>
      <c r="U37" s="24" t="n">
        <f aca="false">IF($A37&gt;=Assumptions!$B$14,MIN(Assumptions!$B$5,Assumptions!$B$5*($A37-Assumptions!$B$14+1)/Assumptions!$B$6),0)</f>
        <v>5000</v>
      </c>
      <c r="V37" s="24" t="n">
        <f aca="false">IF($A37&gt;=Assumptions!$B$15,MIN(Assumptions!$B$5,Assumptions!$B$5*($A37-Assumptions!$B$15+1)/Assumptions!$B$6),0)</f>
        <v>5000</v>
      </c>
      <c r="W37" s="24" t="n">
        <f aca="false">IF($A37&gt;=Assumptions!$B$16,MIN(Assumptions!$B$5,Assumptions!$B$5*($A37-Assumptions!$B$16+1)/Assumptions!$B$6),0)</f>
        <v>5000</v>
      </c>
      <c r="X37" s="24" t="n">
        <f aca="false">IF($A37&gt;=Assumptions!$B$17,MIN(Assumptions!$B$5,Assumptions!$B$5*($A37-Assumptions!$B$17+1)/Assumptions!$B$6),0)</f>
        <v>2777.77777777778</v>
      </c>
      <c r="Y37" s="24" t="n">
        <f aca="false">IF($A37&gt;=Assumptions!$B$14,Assumptions!$B$7*MIN(1,($A37-Assumptions!$B$14+1)/Assumptions!$B$8),0)</f>
        <v>25</v>
      </c>
      <c r="Z37" s="24" t="n">
        <f aca="false">IF($A37&gt;=Assumptions!$B$15,Assumptions!$B$7*MIN(1,($A37-Assumptions!$B$15+1)/Assumptions!$B$8),0)</f>
        <v>25</v>
      </c>
      <c r="AA37" s="24" t="n">
        <f aca="false">IF($A37&gt;=Assumptions!$B$16,Assumptions!$B$7*MIN(1,($A37-Assumptions!$B$16+1)/Assumptions!$B$8),0)</f>
        <v>25</v>
      </c>
      <c r="AB37" s="24" t="n">
        <f aca="false">IF($A37&gt;=Assumptions!$B$17,Assumptions!$B$7*MIN(1,($A37-Assumptions!$B$17+1)/Assumptions!$B$8),0)</f>
        <v>20.8333333333333</v>
      </c>
      <c r="AC37" s="24" t="n">
        <f aca="false">D37*Assumptions!$B$21</f>
        <v>142222.222222222</v>
      </c>
      <c r="AD37" s="24" t="n">
        <f aca="false">D37*Assumptions!$B$22</f>
        <v>88888.8888888889</v>
      </c>
      <c r="AE37" s="24" t="n">
        <f aca="false">D37*Assumptions!$B$23</f>
        <v>53333.3333333333</v>
      </c>
      <c r="AF37" s="24" t="n">
        <f aca="false">D37*Assumptions!$B$24</f>
        <v>35555.5555555556</v>
      </c>
      <c r="AG37" s="24" t="n">
        <f aca="false">D37*Assumptions!$B$25</f>
        <v>106666.666666667</v>
      </c>
      <c r="AH37" s="24" t="n">
        <f aca="false">IF(AND(R37&gt;=0,R36&lt;0),A37,0)</f>
        <v>0</v>
      </c>
      <c r="AI37" s="24" t="n">
        <f aca="false">IF(AND(S37&gt;=0,S36&lt;0),A37,0)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8.55" hidden="false" customHeight="false" outlineLevel="0" collapsed="false">
      <c r="A1" s="25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26" t="s">
        <v>145</v>
      </c>
      <c r="B3" s="6" t="n">
        <v>10000</v>
      </c>
    </row>
    <row r="6" customFormat="false" ht="15" hidden="false" customHeight="false" outlineLevel="0" collapsed="false">
      <c r="A6" s="27"/>
      <c r="B6" s="27" t="s">
        <v>146</v>
      </c>
      <c r="C6" s="27" t="s">
        <v>147</v>
      </c>
      <c r="D6" s="27" t="s">
        <v>148</v>
      </c>
    </row>
    <row r="7" customFormat="false" ht="15" hidden="false" customHeight="false" outlineLevel="0" collapsed="false">
      <c r="A7" s="26" t="s">
        <v>149</v>
      </c>
      <c r="B7" s="28" t="n">
        <f aca="false">MAX(0,($B$3*Assumptions!$B$21+$B$3*Assumptions!$B$22+$B$3*Assumptions!$B$23+$B$3*Assumptions!$B$24+$B$3*Assumptions!$B$25)-Assumptions!$B$47)/1000*Assumptions!$B$43</f>
        <v>168</v>
      </c>
      <c r="C7" s="28" t="n">
        <f aca="false">MAX(0,$B$3*Assumptions!$B$22-Assumptions!$B$46)/1000*Assumptions!$B$39+MAX(0,$B$3*Assumptions!$B$23-Assumptions!$B$46)/1000*Assumptions!$B$40+MAX(0,($B$3*Assumptions!$B$21+$B$3*Assumptions!$B$24+$B$3*Assumptions!$B$25)-Assumptions!$B$47)/1000*Assumptions!$B$43</f>
        <v>1124</v>
      </c>
      <c r="D7" s="28" t="n">
        <f aca="false">MAX(0,$B$3*Assumptions!$B$21-Assumptions!$B$46)/1000*Assumptions!$B$38+MAX(0,$B$3*Assumptions!$B$22-Assumptions!$B$46)/1000*Assumptions!$B$39+MAX(0,$B$3*Assumptions!$B$23-Assumptions!$B$46)/1000*Assumptions!$B$40+MAX(0,$B$3*Assumptions!$B$24-Assumptions!$B$46)/1000*Assumptions!$B$41+MAX(0,$B$3*Assumptions!$B$25-Assumptions!$B$46)/1000*Assumptions!$B$42</f>
        <v>1810</v>
      </c>
    </row>
    <row r="8" customFormat="false" ht="15" hidden="false" customHeight="false" outlineLevel="0" collapsed="false">
      <c r="A8" s="26" t="s">
        <v>150</v>
      </c>
      <c r="B8" s="29" t="n">
        <f aca="false">B7*12</f>
        <v>2016</v>
      </c>
      <c r="C8" s="29" t="n">
        <f aca="false">C7*12</f>
        <v>13488</v>
      </c>
      <c r="D8" s="29" t="n">
        <f aca="false">D7*12</f>
        <v>21720</v>
      </c>
    </row>
    <row r="9" customFormat="false" ht="15" hidden="false" customHeight="false" outlineLevel="0" collapsed="false">
      <c r="A9" s="4" t="s">
        <v>151</v>
      </c>
      <c r="B9" s="30" t="n">
        <f aca="false">B7/$B$3*1000</f>
        <v>16.8</v>
      </c>
      <c r="C9" s="30" t="n">
        <f aca="false">C7/$B$3*1000</f>
        <v>112.4</v>
      </c>
      <c r="D9" s="30" t="n">
        <f aca="false">D7/$B$3*1000</f>
        <v>181</v>
      </c>
    </row>
    <row r="10" customFormat="false" ht="15" hidden="false" customHeight="false" outlineLevel="0" collapsed="false">
      <c r="A10" s="4" t="s">
        <v>152</v>
      </c>
      <c r="B10" s="31" t="n">
        <f aca="false">B7/$B$7</f>
        <v>1</v>
      </c>
      <c r="C10" s="31" t="n">
        <f aca="false">C7/$B$7</f>
        <v>6.69047619047619</v>
      </c>
      <c r="D10" s="31" t="n">
        <f aca="false">D7/$B$7</f>
        <v>10.7738095238095</v>
      </c>
    </row>
    <row r="12" customFormat="false" ht="15" hidden="false" customHeight="false" outlineLevel="0" collapsed="false">
      <c r="A12" s="32" t="s">
        <v>153</v>
      </c>
    </row>
    <row r="13" customFormat="false" ht="15" hidden="false" customHeight="false" outlineLevel="0" collapsed="false">
      <c r="A13" s="14" t="s">
        <v>51</v>
      </c>
      <c r="B13" s="14" t="s">
        <v>154</v>
      </c>
      <c r="C13" s="14" t="s">
        <v>155</v>
      </c>
      <c r="D13" s="14" t="s">
        <v>156</v>
      </c>
    </row>
    <row r="14" customFormat="false" ht="15" hidden="false" customHeight="false" outlineLevel="0" collapsed="false">
      <c r="A14" s="4" t="s">
        <v>157</v>
      </c>
      <c r="B14" s="19" t="n">
        <f aca="false">$B$3*Assumptions!$B$21</f>
        <v>80000</v>
      </c>
      <c r="C14" s="33" t="n">
        <f aca="false">Assumptions!$B$38</f>
        <v>7</v>
      </c>
      <c r="D14" s="33" t="n">
        <f aca="false">Assumptions!$B$43</f>
        <v>0.8</v>
      </c>
    </row>
    <row r="15" customFormat="false" ht="15" hidden="false" customHeight="false" outlineLevel="0" collapsed="false">
      <c r="A15" s="4" t="s">
        <v>158</v>
      </c>
      <c r="B15" s="19" t="n">
        <f aca="false">$B$3*Assumptions!$B$22</f>
        <v>50000</v>
      </c>
      <c r="C15" s="33" t="n">
        <f aca="false">Assumptions!$B$39</f>
        <v>17</v>
      </c>
      <c r="D15" s="33" t="n">
        <f aca="false">Assumptions!$B$43</f>
        <v>0.8</v>
      </c>
    </row>
    <row r="16" customFormat="false" ht="15" hidden="false" customHeight="false" outlineLevel="0" collapsed="false">
      <c r="A16" s="4" t="s">
        <v>30</v>
      </c>
      <c r="B16" s="19" t="n">
        <f aca="false">$B$3*Assumptions!$B$23</f>
        <v>30000</v>
      </c>
      <c r="C16" s="33" t="n">
        <f aca="false">Assumptions!$B$40</f>
        <v>17</v>
      </c>
      <c r="D16" s="33" t="n">
        <f aca="false">Assumptions!$B$43</f>
        <v>0.8</v>
      </c>
    </row>
    <row r="17" customFormat="false" ht="15" hidden="false" customHeight="false" outlineLevel="0" collapsed="false">
      <c r="A17" s="4" t="s">
        <v>56</v>
      </c>
      <c r="B17" s="19" t="n">
        <f aca="false">$B$3*Assumptions!$B$24</f>
        <v>20000</v>
      </c>
      <c r="C17" s="33" t="n">
        <f aca="false">Assumptions!$B$41</f>
        <v>5</v>
      </c>
      <c r="D17" s="33" t="n">
        <f aca="false">Assumptions!$B$43</f>
        <v>0.8</v>
      </c>
    </row>
    <row r="18" customFormat="false" ht="15" hidden="false" customHeight="false" outlineLevel="0" collapsed="false">
      <c r="A18" s="4" t="s">
        <v>159</v>
      </c>
      <c r="B18" s="19" t="n">
        <f aca="false">$B$3*Assumptions!$B$25</f>
        <v>60000</v>
      </c>
      <c r="C18" s="33" t="n">
        <f aca="false">Assumptions!$B$42</f>
        <v>5</v>
      </c>
      <c r="D18" s="33" t="n">
        <f aca="false">Assumptions!$B$43</f>
        <v>0.8</v>
      </c>
    </row>
    <row r="20" customFormat="false" ht="15" hidden="false" customHeight="true" outlineLevel="0" collapsed="false">
      <c r="A20" s="34" t="s">
        <v>160</v>
      </c>
      <c r="B20" s="34"/>
      <c r="C20" s="34"/>
      <c r="D20" s="34"/>
    </row>
    <row r="21" customFormat="false" ht="15" hidden="false" customHeight="false" outlineLevel="0" collapsed="false">
      <c r="A21" s="34"/>
      <c r="B21" s="34"/>
      <c r="C21" s="34"/>
      <c r="D21" s="34"/>
    </row>
  </sheetData>
  <mergeCells count="1">
    <mergeCell ref="A20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9.7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27"/>
      <c r="B4" s="27" t="s">
        <v>163</v>
      </c>
      <c r="C4" s="27" t="s">
        <v>164</v>
      </c>
      <c r="D4" s="27" t="s">
        <v>165</v>
      </c>
    </row>
    <row r="5" customFormat="false" ht="15" hidden="false" customHeight="false" outlineLevel="0" collapsed="false">
      <c r="A5" s="4" t="s">
        <v>166</v>
      </c>
      <c r="B5" s="29" t="n">
        <f aca="false">SUM('Monthly Model'!$F$2:$F$13)</f>
        <v>10816.6666666667</v>
      </c>
      <c r="C5" s="29" t="n">
        <f aca="false">SUM('Monthly Model'!$F$14:$F$25)</f>
        <v>35400</v>
      </c>
      <c r="D5" s="29" t="n">
        <f aca="false">SUM('Monthly Model'!$F$26:$F$37)</f>
        <v>58631.25</v>
      </c>
    </row>
    <row r="6" customFormat="false" ht="15" hidden="false" customHeight="false" outlineLevel="0" collapsed="false">
      <c r="A6" s="4" t="s">
        <v>79</v>
      </c>
      <c r="B6" s="29" t="n">
        <f aca="false">SUM('Monthly Model'!$G$2:$G$13)</f>
        <v>2640</v>
      </c>
      <c r="C6" s="29" t="n">
        <f aca="false">SUM('Monthly Model'!$G$14:$G$25)</f>
        <v>10650</v>
      </c>
      <c r="D6" s="29" t="n">
        <f aca="false">SUM('Monthly Model'!$G$26:$G$37)</f>
        <v>19410</v>
      </c>
    </row>
    <row r="7" customFormat="false" ht="15" hidden="false" customHeight="false" outlineLevel="0" collapsed="false">
      <c r="A7" s="4" t="s">
        <v>80</v>
      </c>
      <c r="B7" s="29" t="n">
        <f aca="false">SUM('Monthly Model'!$H$2:$H$13)</f>
        <v>2559.33333333333</v>
      </c>
      <c r="C7" s="29" t="n">
        <f aca="false">SUM('Monthly Model'!$H$14:$H$25)</f>
        <v>10324.5833333333</v>
      </c>
      <c r="D7" s="29" t="n">
        <f aca="false">SUM('Monthly Model'!$H$26:$H$37)</f>
        <v>18816.9166666667</v>
      </c>
    </row>
    <row r="8" customFormat="false" ht="15" hidden="false" customHeight="false" outlineLevel="0" collapsed="false">
      <c r="A8" s="4" t="s">
        <v>81</v>
      </c>
      <c r="B8" s="29" t="n">
        <f aca="false">SUM('Monthly Model'!$I$2:$I$13)</f>
        <v>0</v>
      </c>
      <c r="C8" s="29" t="n">
        <f aca="false">SUM('Monthly Model'!$I$14:$I$25)</f>
        <v>0</v>
      </c>
      <c r="D8" s="29" t="n">
        <f aca="false">SUM('Monthly Model'!$I$26:$I$37)</f>
        <v>0</v>
      </c>
    </row>
    <row r="9" customFormat="false" ht="15" hidden="false" customHeight="false" outlineLevel="0" collapsed="false">
      <c r="A9" s="26" t="s">
        <v>82</v>
      </c>
      <c r="B9" s="28" t="n">
        <f aca="false">SUM('Monthly Model'!$J$2:$J$13)</f>
        <v>16016</v>
      </c>
      <c r="C9" s="28" t="n">
        <f aca="false">SUM('Monthly Model'!$J$14:$J$25)</f>
        <v>56374.5833333333</v>
      </c>
      <c r="D9" s="28" t="n">
        <f aca="false">SUM('Monthly Model'!$J$26:$J$37)</f>
        <v>96858.1666666667</v>
      </c>
    </row>
    <row r="11" customFormat="false" ht="15" hidden="false" customHeight="false" outlineLevel="0" collapsed="false">
      <c r="A11" s="4" t="s">
        <v>167</v>
      </c>
      <c r="B11" s="29" t="n">
        <f aca="false">SUM('Monthly Model'!$N$2:$N$13)</f>
        <v>745.888888888889</v>
      </c>
      <c r="C11" s="29" t="n">
        <f aca="false">SUM('Monthly Model'!$N$14:$N$25)</f>
        <v>10305.3333333333</v>
      </c>
      <c r="D11" s="29" t="n">
        <f aca="false">SUM('Monthly Model'!$N$26:$N$37)</f>
        <v>22374.6666666667</v>
      </c>
    </row>
    <row r="12" customFormat="false" ht="15" hidden="false" customHeight="false" outlineLevel="0" collapsed="false">
      <c r="A12" s="4" t="s">
        <v>87</v>
      </c>
      <c r="B12" s="29" t="n">
        <f aca="false">SUM('Monthly Model'!$O$2:$O$13)</f>
        <v>0</v>
      </c>
      <c r="C12" s="29" t="n">
        <f aca="false">SUM('Monthly Model'!$O$14:$O$25)</f>
        <v>315</v>
      </c>
      <c r="D12" s="29" t="n">
        <f aca="false">SUM('Monthly Model'!$O$26:$O$37)</f>
        <v>540</v>
      </c>
    </row>
    <row r="13" customFormat="false" ht="15" hidden="false" customHeight="false" outlineLevel="0" collapsed="false">
      <c r="A13" s="4" t="s">
        <v>88</v>
      </c>
      <c r="B13" s="29" t="n">
        <f aca="false">SUM('Monthly Model'!$P$2:$P$13)</f>
        <v>2400</v>
      </c>
      <c r="C13" s="29" t="n">
        <f aca="false">SUM('Monthly Model'!$P$14:$P$25)</f>
        <v>2400</v>
      </c>
      <c r="D13" s="29" t="n">
        <f aca="false">SUM('Monthly Model'!$P$26:$P$37)</f>
        <v>2400</v>
      </c>
    </row>
    <row r="14" customFormat="false" ht="15" hidden="false" customHeight="false" outlineLevel="0" collapsed="false">
      <c r="A14" s="26" t="s">
        <v>89</v>
      </c>
      <c r="B14" s="28" t="n">
        <f aca="false">SUM('Monthly Model'!$Q$2:$Q$13)</f>
        <v>3145.88888888889</v>
      </c>
      <c r="C14" s="28" t="n">
        <f aca="false">SUM('Monthly Model'!$Q$14:$Q$25)</f>
        <v>13020.3333333333</v>
      </c>
      <c r="D14" s="28" t="n">
        <f aca="false">SUM('Monthly Model'!$Q$26:$Q$37)</f>
        <v>25314.6666666667</v>
      </c>
    </row>
    <row r="16" customFormat="false" ht="15" hidden="false" customHeight="false" outlineLevel="0" collapsed="false">
      <c r="A16" s="26" t="s">
        <v>168</v>
      </c>
      <c r="B16" s="23" t="n">
        <f aca="false">SUM('Monthly Model'!$R$2:$R$13)</f>
        <v>12870.1111111111</v>
      </c>
      <c r="C16" s="23" t="n">
        <f aca="false">SUM('Monthly Model'!$R$14:$R$25)</f>
        <v>43354.25</v>
      </c>
      <c r="D16" s="23" t="n">
        <f aca="false">SUM('Monthly Model'!$R$26:$R$37)</f>
        <v>71543.5</v>
      </c>
    </row>
    <row r="18" customFormat="false" ht="15" hidden="false" customHeight="false" outlineLevel="0" collapsed="false">
      <c r="A18" s="4" t="s">
        <v>169</v>
      </c>
      <c r="B18" s="35" t="n">
        <f aca="false">'Monthly Model'!$D$13</f>
        <v>4444.44444444444</v>
      </c>
      <c r="C18" s="35" t="n">
        <f aca="false">'Monthly Model'!$D$25</f>
        <v>11388.8888888889</v>
      </c>
      <c r="D18" s="35" t="n">
        <f aca="false">'Monthly Model'!$D$37</f>
        <v>17777.7777777778</v>
      </c>
    </row>
    <row r="21" customFormat="false" ht="15" hidden="false" customHeight="false" outlineLevel="0" collapsed="false">
      <c r="A21" s="36" t="s">
        <v>170</v>
      </c>
    </row>
    <row r="22" customFormat="false" ht="15" hidden="false" customHeight="false" outlineLevel="0" collapsed="false">
      <c r="A22" s="4" t="s">
        <v>171</v>
      </c>
      <c r="B22" s="37" t="n">
        <f aca="false">IF(MAX('Monthly Model'!$AI$2:$AI$37)=0,"Not within 36 mo",MAX('Monthly Model'!$AI$2:$AI$37))</f>
        <v>2</v>
      </c>
    </row>
    <row r="23" customFormat="false" ht="15" hidden="false" customHeight="false" outlineLevel="0" collapsed="false">
      <c r="A23" s="4" t="s">
        <v>172</v>
      </c>
      <c r="B23" s="38" t="n">
        <f aca="false">'Monthly Model'!$J$37*12</f>
        <v>113226</v>
      </c>
    </row>
    <row r="24" customFormat="false" ht="15" hidden="false" customHeight="false" outlineLevel="0" collapsed="false">
      <c r="A24" s="4" t="s">
        <v>173</v>
      </c>
      <c r="B24" s="38" t="n">
        <f aca="false">'Monthly Model'!$R$37*12</f>
        <v>82910</v>
      </c>
    </row>
    <row r="25" customFormat="false" ht="15" hidden="false" customHeight="false" outlineLevel="0" collapsed="false">
      <c r="A25" s="4" t="s">
        <v>174</v>
      </c>
      <c r="B25" s="39" t="n">
        <f aca="false">IF('Monthly Model'!$J$37=0,0,'Monthly Model'!$R$37/'Monthly Model'!$J$37)</f>
        <v>0.732252309540212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2026-05-31T17:32:32Z</dcterms:created>
  <dc:creator>openpyxl</dc:creator>
  <dc:description/>
  <dc:language>en-US</dc:language>
  <cp:lastModifiedBy/>
  <dcterms:modified xsi:type="dcterms:W3CDTF">2026-05-31T17:32:33Z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